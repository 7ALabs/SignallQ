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ia_Primeiro" sheetId="1" state="visible" r:id="rId1"/>
    <sheet name="01_Resumo" sheetId="2" state="visible" r:id="rId2"/>
    <sheet name="02_Login_Navegacao" sheetId="3" state="visible" r:id="rId3"/>
    <sheet name="03_Overview" sheetId="4" state="visible" r:id="rId4"/>
    <sheet name="04_Uso_App" sheetId="5" state="visible" r:id="rId5"/>
    <sheet name="05_Diagnosticos" sheetId="6" state="visible" r:id="rId6"/>
    <sheet name="06_Redes_Operadoras" sheetId="7" state="visible" r:id="rId7"/>
    <sheet name="07_IA_Custos" sheetId="8" state="visible" r:id="rId8"/>
    <sheet name="08_Problemas_Incidentes" sheetId="9" state="visible" r:id="rId9"/>
    <sheet name="09_Releases_Qualidade" sheetId="10" state="visible" r:id="rId10"/>
    <sheet name="10_Saude_Sistema" sheetId="11" state="visible" r:id="rId11"/>
    <sheet name="11_Configuracoes" sheetId="12" state="visible" r:id="rId12"/>
    <sheet name="12_Ferramentas" sheetId="13" state="visible" r:id="rId13"/>
    <sheet name="13_Fluxos_E2E" sheetId="14" state="visible" r:id="rId14"/>
    <sheet name="14_Tokens_Design" sheetId="15" state="visible" r:id="rId15"/>
    <sheet name="15_Bugs_GitHub" sheetId="16" state="visible" r:id="rId16"/>
    <sheet name="16_Comandos_Apoi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</font>
    <font>
      <name val="Arial"/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C2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Caderno de Testes — SignallQ Admin (Console)</t>
        </is>
      </c>
    </row>
    <row r="2">
      <c r="A2" s="2" t="inlineStr">
        <is>
          <t>Execução assistida por IA • Playwright • conta de QA dedicada</t>
        </is>
      </c>
    </row>
    <row r="4">
      <c r="A4" s="3" t="inlineStr"/>
      <c r="B4" s="4" t="inlineStr"/>
    </row>
    <row r="5">
      <c r="A5" s="3" t="inlineStr">
        <is>
          <t>REGRA ZERO</t>
        </is>
      </c>
      <c r="B5" s="4" t="inlineStr">
        <is>
          <t>Nunca usar credencial pessoal do Luiz nem de outro operador real para testar. Usar sempre a conta de QA dedicada (ver linha 'Conta de QA').</t>
        </is>
      </c>
    </row>
    <row r="6">
      <c r="A6" s="3" t="inlineStr">
        <is>
          <t>Fonte de design</t>
        </is>
      </c>
      <c r="B6" s="4" t="inlineStr">
        <is>
          <t>SignallQ Admin/DESIGN.md e SignallQ Admin/PRODUCT.md (North Star: The Operator's Console)</t>
        </is>
      </c>
    </row>
    <row r="7">
      <c r="A7" s="3" t="inlineStr">
        <is>
          <t>Fonte de código</t>
        </is>
      </c>
      <c r="B7" s="4" t="inlineStr">
        <is>
          <t>https://github.com/gmmattey/linka-android — main — integrations/cloudflare/signallq-admin-worker/ + SignallQ Admin/src/</t>
        </is>
      </c>
    </row>
    <row r="8">
      <c r="A8" s="3" t="inlineStr">
        <is>
          <t>URL de produção real</t>
        </is>
      </c>
      <c r="B8" s="4" t="inlineStr">
        <is>
          <t>https://signallq-admin-panel.pages.dev/ — projeto Cloudflare Pages Git-connected, deploy a cada push em main</t>
        </is>
      </c>
    </row>
    <row r="9">
      <c r="A9" s="3" t="inlineStr">
        <is>
          <t>URL legada (NÃO USAR)</t>
        </is>
      </c>
      <c r="B9" s="4" t="inlineStr">
        <is>
          <t>https://signallq.pages.dev/console/ — projeto Cloudflare Pages desativado em 2026-07-16 (issue #1068), congelado em build antigo, nunca mais recebe deploy. Usar essa URL para teste produz falso-negativo.</t>
        </is>
      </c>
    </row>
    <row r="10">
      <c r="A10" s="3" t="inlineStr">
        <is>
          <t>Conta de QA</t>
        </is>
      </c>
      <c r="B10" s="4" t="inlineStr">
        <is>
          <t>qa.playwright@signallq.internal — role 'admin', criada em 2026-07-17 diretamente no D1 (signallq-admin-db, tabela admin_users) via bootstrap temporário no Worker (nunca commitado). Senha entregue ao Luiz fora do repositório. Para resetar: UPDATE admin_users SET password_hash=&lt;novo hash pbkdf2&gt; WHERE email='qa.playwright@signallq.internal' via D1, ou reabrir o mesmo bootstrap temporário só quando necessário.</t>
        </is>
      </c>
    </row>
    <row r="11">
      <c r="A11" s="3" t="inlineStr">
        <is>
          <t>Stack</t>
        </is>
      </c>
      <c r="B11" s="4" t="inlineStr">
        <is>
          <t>React + TypeScript + Vite + Tailwind. Backend: Cloudflare Worker 'signallq-admin' (D1 signallq-admin-db) + Pages Function de proxy /api/*.</t>
        </is>
      </c>
    </row>
    <row r="12">
      <c r="A12" s="3" t="inlineStr">
        <is>
          <t>Alvo recomendado</t>
        </is>
      </c>
      <c r="B12" s="4" t="inlineStr">
        <is>
          <t>Chromium via Playwright MCP, viewport desktop (1280×800) como padrão; validar também em mobile (375×812) para Sidebar→BottomNav.</t>
        </is>
      </c>
    </row>
    <row r="13">
      <c r="A13" s="3" t="inlineStr">
        <is>
          <t>Ordem recomendada</t>
        </is>
      </c>
      <c r="B13" s="4" t="inlineStr">
        <is>
          <t>02 Login/Navegação → 03 Overview → 04 Uso do App → 05 Diagnósticos → 06 Redes &amp; Operadoras → 07 IA &amp; Custos → 08 Problemas &amp; Incidentes → 09 Releases &amp; Qualidade → 10 Saúde do Sistema → 11 Configurações → 12 Ferramentas → 13 Fluxos E2E</t>
        </is>
      </c>
    </row>
    <row r="14">
      <c r="A14" s="3" t="inlineStr">
        <is>
          <t>Status permitidos</t>
        </is>
      </c>
      <c r="B14" s="4" t="inlineStr">
        <is>
          <t>Não iniciado • Em execução • Passou • Falhou • Bloqueado • N/A</t>
        </is>
      </c>
    </row>
    <row r="15">
      <c r="A15" s="3" t="inlineStr">
        <is>
          <t>Critério de bug</t>
        </is>
      </c>
      <c r="B15" s="4" t="inlineStr">
        <is>
          <t>Falha reproduzida 2x, não explicada por dado mock/ambiente. Diferenciar 'não implementado' (rótulo explícito na própria UI, ex.: 'Crashlytics indisponível') de bug real.</t>
        </is>
      </c>
    </row>
    <row r="16">
      <c r="A16" s="3" t="inlineStr"/>
      <c r="B16" s="4" t="inlineStr"/>
    </row>
    <row r="17">
      <c r="A17" s="5" t="inlineStr">
        <is>
          <t>Protocolo de execução da IA</t>
        </is>
      </c>
      <c r="B17" s="4" t="inlineStr"/>
    </row>
    <row r="18">
      <c r="A18" s="3" t="inlineStr">
        <is>
          <t>1</t>
        </is>
      </c>
      <c r="B18" s="4" t="inlineStr">
        <is>
          <t>Preparar — abrir sessão Playwright, navegar para a URL de produção real (nunca a legada), logar com a conta de QA.</t>
        </is>
      </c>
    </row>
    <row r="19">
      <c r="A19" s="3" t="inlineStr">
        <is>
          <t>2</t>
        </is>
      </c>
      <c r="B19" s="4" t="inlineStr">
        <is>
          <t>Console — abrir browser_console_messages a cada tela; qualquer [ERROR] novo (fora o 401 inicial de auth/me pré-login) é candidato a bug.</t>
        </is>
      </c>
    </row>
    <row r="20">
      <c r="A20" s="3" t="inlineStr">
        <is>
          <t>3</t>
        </is>
      </c>
      <c r="B20" s="4" t="inlineStr">
        <is>
          <t>Executar por tela — não pular entre abas. Concluir todos os casos da aba antes de avançar.</t>
        </is>
      </c>
    </row>
    <row r="21">
      <c r="A21" s="3" t="inlineStr">
        <is>
          <t>4</t>
        </is>
      </c>
      <c r="B21" s="4" t="inlineStr">
        <is>
          <t>Evidência — para cada Falhou/Bloqueado: screenshot (browser_take_screenshot ou snapshot), innerText relevante, URL/hash exato, horário.</t>
        </is>
      </c>
    </row>
    <row r="22">
      <c r="A22" s="3" t="inlineStr">
        <is>
          <t>5</t>
        </is>
      </c>
      <c r="B22" s="4" t="inlineStr">
        <is>
          <t>Reteste — Falhou → recarregar a página → repetir uma vez antes de marcar definitivo.</t>
        </is>
      </c>
    </row>
    <row r="23">
      <c r="A23" s="3" t="inlineStr">
        <is>
          <t>6</t>
        </is>
      </c>
      <c r="B23" s="4" t="inlineStr">
        <is>
          <t>Triagem — separar bug real de dado mock/'não implementado' rotulado, gap conhecido (ver Decisões abaixo) ou ambiente (STG vs PROD).</t>
        </is>
      </c>
    </row>
    <row r="24">
      <c r="A24" s="3" t="inlineStr">
        <is>
          <t>7</t>
        </is>
      </c>
      <c r="B24" s="4" t="inlineStr">
        <is>
          <t>GitHub — pesquisar issue existente antes de abrir nova. Uma issue por causa raiz.</t>
        </is>
      </c>
    </row>
    <row r="25">
      <c r="A25" s="3" t="inlineStr"/>
      <c r="B25" s="4" t="inlineStr"/>
    </row>
    <row r="26">
      <c r="A26" s="5" t="inlineStr">
        <is>
          <t>Decisões atuais que prevalecem sobre documentos/mocks antigos</t>
        </is>
      </c>
      <c r="B26" s="4" t="inlineStr"/>
    </row>
    <row r="27">
      <c r="A27" s="3" t="inlineStr">
        <is>
          <t>Navegação</t>
        </is>
      </c>
      <c r="B27" s="4" t="inlineStr">
        <is>
          <t>10 telas reais (App.tsx): Overview, Uso do App, Diagnósticos, Redes &amp; Operadoras (fusão de /networks+/operators, GH#552 Fase 2), IA &amp; Custos, Problemas &amp; Incidentes, Releases &amp; Qualidade, Saúde do Sistema, Configurações (fusão de /settings+/feature-flags), Ferramentas.</t>
        </is>
      </c>
    </row>
    <row r="28">
      <c r="A28" s="3" t="inlineStr">
        <is>
          <t>Filtros globais</t>
        </is>
      </c>
      <c r="B28" s="4" t="inlineStr">
        <is>
          <t>Ambiente PROD/STG e período (Hoje/7d/30d/Personalizado) persistem via sessionStorage, aplicam-se a todas as telas exceto Configurações.</t>
        </is>
      </c>
    </row>
    <row r="29">
      <c r="A29" s="3" t="inlineStr">
        <is>
          <t>Dado real vs mock</t>
        </is>
      </c>
      <c r="B29" s="4" t="inlineStr">
        <is>
          <t>Firebase Analytics/Crashlytics e Google Play Console ainda não têm billing/API habilitados em produção (decisão do Luiz de não assumir custo novo) — várias métricas mostram 'não disponível'/'não implementado' de propósito, isso NÃO é bug. Cloudflare Workers AI (ai-cost) e D1 (app-versions, diagnostics) já são dado real.</t>
        </is>
      </c>
    </row>
    <row r="30">
      <c r="A30" s="3" t="inlineStr">
        <is>
          <t>Acesso da equipe (Configurações)</t>
        </is>
      </c>
      <c r="B30" s="4" t="inlineStr">
        <is>
          <t>A lista de nomes/avatares em Configurações → Acesso da equipe parece estática (Claudete/Camilo/Lia/Rhodolfo hardcoded) e não reflete admin_users real do D1 — a conta de QA criada nesta sessão não aparece lá. Validar como possível gap na aba 11_Configuracoes.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Resumo de execução</t>
        </is>
      </c>
    </row>
    <row r="2">
      <c r="A2" s="2" t="inlineStr">
        <is>
          <t>Atualiza automaticamente conforme a coluna Status das abas de teste. Tokens de design acompanhados separadamente em 14_Tokens_Design.</t>
        </is>
      </c>
    </row>
    <row r="4">
      <c r="A4" s="6" t="inlineStr">
        <is>
          <t>Indicador</t>
        </is>
      </c>
      <c r="B4" s="6" t="inlineStr">
        <is>
          <t>Valor</t>
        </is>
      </c>
    </row>
    <row r="5">
      <c r="A5" s="7" t="inlineStr">
        <is>
          <t>Total de casos</t>
        </is>
      </c>
      <c r="B5" s="7">
        <f>COUNTA('02_Login_Navegacao'!$N$5:$N$500)+COUNTA('03_Overview'!$N$5:$N$500)+COUNTA('04_Uso_App'!$N$5:$N$500)+COUNTA('05_Diagnosticos'!$N$5:$N$500)+COUNTA('06_Redes_Operadoras'!$N$5:$N$500)+COUNTA('07_IA_Custos'!$N$5:$N$500)+COUNTA('08_Problemas_Incidentes'!$N$5:$N$500)+COUNTA('09_Releases_Qualidade'!$N$5:$N$500)+COUNTA('10_Saude_Sistema'!$N$5:$N$500)+COUNTA('11_Configuracoes'!$N$5:$N$500)+COUNTA('12_Ferramentas'!$N$5:$N$500)+COUNTA('13_Fluxos_E2E'!$N$5:$N$500)</f>
        <v/>
      </c>
    </row>
    <row r="6">
      <c r="A6" s="7" t="inlineStr">
        <is>
          <t>Passou</t>
        </is>
      </c>
      <c r="B6" s="7">
        <f>COUNTIF('02_Login_Navegacao'!$N$5:$N$500,"Passou")+COUNTIF('03_Overview'!$N$5:$N$500,"Passou")+COUNTIF('04_Uso_App'!$N$5:$N$500,"Passou")+COUNTIF('05_Diagnosticos'!$N$5:$N$500,"Passou")+COUNTIF('06_Redes_Operadoras'!$N$5:$N$500,"Passou")+COUNTIF('07_IA_Custos'!$N$5:$N$500,"Passou")+COUNTIF('08_Problemas_Incidentes'!$N$5:$N$500,"Passou")+COUNTIF('09_Releases_Qualidade'!$N$5:$N$500,"Passou")+COUNTIF('10_Saude_Sistema'!$N$5:$N$500,"Passou")+COUNTIF('11_Configuracoes'!$N$5:$N$500,"Passou")+COUNTIF('12_Ferramentas'!$N$5:$N$500,"Passou")+COUNTIF('13_Fluxos_E2E'!$N$5:$N$500,"Passou")</f>
        <v/>
      </c>
    </row>
    <row r="7">
      <c r="A7" s="7" t="inlineStr">
        <is>
          <t>Falhou</t>
        </is>
      </c>
      <c r="B7" s="7">
        <f>COUNTIF('02_Login_Navegacao'!$N$5:$N$500,"Falhou")+COUNTIF('03_Overview'!$N$5:$N$500,"Falhou")+COUNTIF('04_Uso_App'!$N$5:$N$500,"Falhou")+COUNTIF('05_Diagnosticos'!$N$5:$N$500,"Falhou")+COUNTIF('06_Redes_Operadoras'!$N$5:$N$500,"Falhou")+COUNTIF('07_IA_Custos'!$N$5:$N$500,"Falhou")+COUNTIF('08_Problemas_Incidentes'!$N$5:$N$500,"Falhou")+COUNTIF('09_Releases_Qualidade'!$N$5:$N$500,"Falhou")+COUNTIF('10_Saude_Sistema'!$N$5:$N$500,"Falhou")+COUNTIF('11_Configuracoes'!$N$5:$N$500,"Falhou")+COUNTIF('12_Ferramentas'!$N$5:$N$500,"Falhou")+COUNTIF('13_Fluxos_E2E'!$N$5:$N$500,"Falhou")</f>
        <v/>
      </c>
    </row>
    <row r="8">
      <c r="A8" s="7" t="inlineStr">
        <is>
          <t>Bloqueado</t>
        </is>
      </c>
      <c r="B8" s="7">
        <f>COUNTIF('02_Login_Navegacao'!$N$5:$N$500,"Bloqueado")+COUNTIF('03_Overview'!$N$5:$N$500,"Bloqueado")+COUNTIF('04_Uso_App'!$N$5:$N$500,"Bloqueado")+COUNTIF('05_Diagnosticos'!$N$5:$N$500,"Bloqueado")+COUNTIF('06_Redes_Operadoras'!$N$5:$N$500,"Bloqueado")+COUNTIF('07_IA_Custos'!$N$5:$N$500,"Bloqueado")+COUNTIF('08_Problemas_Incidentes'!$N$5:$N$500,"Bloqueado")+COUNTIF('09_Releases_Qualidade'!$N$5:$N$500,"Bloqueado")+COUNTIF('10_Saude_Sistema'!$N$5:$N$500,"Bloqueado")+COUNTIF('11_Configuracoes'!$N$5:$N$500,"Bloqueado")+COUNTIF('12_Ferramentas'!$N$5:$N$500,"Bloqueado")+COUNTIF('13_Fluxos_E2E'!$N$5:$N$500,"Bloqueado")</f>
        <v/>
      </c>
    </row>
    <row r="9">
      <c r="A9" s="7" t="inlineStr">
        <is>
          <t>Em execução</t>
        </is>
      </c>
      <c r="B9" s="7">
        <f>COUNTIF('02_Login_Navegacao'!$N$5:$N$500,"Em execução")+COUNTIF('03_Overview'!$N$5:$N$500,"Em execução")+COUNTIF('04_Uso_App'!$N$5:$N$500,"Em execução")+COUNTIF('05_Diagnosticos'!$N$5:$N$500,"Em execução")+COUNTIF('06_Redes_Operadoras'!$N$5:$N$500,"Em execução")+COUNTIF('07_IA_Custos'!$N$5:$N$500,"Em execução")+COUNTIF('08_Problemas_Incidentes'!$N$5:$N$500,"Em execução")+COUNTIF('09_Releases_Qualidade'!$N$5:$N$500,"Em execução")+COUNTIF('10_Saude_Sistema'!$N$5:$N$500,"Em execução")+COUNTIF('11_Configuracoes'!$N$5:$N$500,"Em execução")+COUNTIF('12_Ferramentas'!$N$5:$N$500,"Em execução")+COUNTIF('13_Fluxos_E2E'!$N$5:$N$500,"Em execução")</f>
        <v/>
      </c>
    </row>
    <row r="10">
      <c r="A10" s="7" t="inlineStr">
        <is>
          <t>Não iniciado</t>
        </is>
      </c>
      <c r="B10" s="7">
        <f>COUNTIF('02_Login_Navegacao'!$N$5:$N$500,"Não iniciado")+COUNTIF('03_Overview'!$N$5:$N$500,"Não iniciado")+COUNTIF('04_Uso_App'!$N$5:$N$500,"Não iniciado")+COUNTIF('05_Diagnosticos'!$N$5:$N$500,"Não iniciado")+COUNTIF('06_Redes_Operadoras'!$N$5:$N$500,"Não iniciado")+COUNTIF('07_IA_Custos'!$N$5:$N$500,"Não iniciado")+COUNTIF('08_Problemas_Incidentes'!$N$5:$N$500,"Não iniciado")+COUNTIF('09_Releases_Qualidade'!$N$5:$N$500,"Não iniciado")+COUNTIF('10_Saude_Sistema'!$N$5:$N$500,"Não iniciado")+COUNTIF('11_Configuracoes'!$N$5:$N$500,"Não iniciado")+COUNTIF('12_Ferramentas'!$N$5:$N$500,"Não iniciado")+COUNTIF('13_Fluxos_E2E'!$N$5:$N$500,"Não iniciado")</f>
        <v/>
      </c>
    </row>
    <row r="11">
      <c r="A11" s="7" t="inlineStr">
        <is>
          <t>N/A</t>
        </is>
      </c>
      <c r="B11" s="7">
        <f>COUNTIF('02_Login_Navegacao'!$N$5:$N$500,"N/A")+COUNTIF('03_Overview'!$N$5:$N$500,"N/A")+COUNTIF('04_Uso_App'!$N$5:$N$500,"N/A")+COUNTIF('05_Diagnosticos'!$N$5:$N$500,"N/A")+COUNTIF('06_Redes_Operadoras'!$N$5:$N$500,"N/A")+COUNTIF('07_IA_Custos'!$N$5:$N$500,"N/A")+COUNTIF('08_Problemas_Incidentes'!$N$5:$N$500,"N/A")+COUNTIF('09_Releases_Qualidade'!$N$5:$N$500,"N/A")+COUNTIF('10_Saude_Sistema'!$N$5:$N$500,"N/A")+COUNTIF('11_Configuracoes'!$N$5:$N$500,"N/A")+COUNTIF('12_Ferramentas'!$N$5:$N$500,"N/A")+COUNTIF('13_Fluxos_E2E'!$N$5:$N$500,"N/A")</f>
        <v/>
      </c>
    </row>
    <row r="12">
      <c r="A12" s="7" t="inlineStr">
        <is>
          <t>% concluído</t>
        </is>
      </c>
      <c r="B12" s="7">
        <f>IF(B5=0,0,(B6+B7+B8+B10)/B5)</f>
        <v/>
      </c>
    </row>
    <row r="13">
      <c r="A13" s="7" t="inlineStr">
        <is>
          <t>% aprovação (executados)</t>
        </is>
      </c>
      <c r="B13" s="7">
        <f>IF((B6+B7)=0,0,B6/(B6+B7))</f>
        <v/>
      </c>
    </row>
    <row r="15">
      <c r="A15" s="6" t="inlineStr">
        <is>
          <t>Grupo de testes</t>
        </is>
      </c>
      <c r="B15" s="6" t="inlineStr">
        <is>
          <t>Total</t>
        </is>
      </c>
      <c r="C15" s="6" t="inlineStr">
        <is>
          <t>Passou</t>
        </is>
      </c>
      <c r="D15" s="6" t="inlineStr">
        <is>
          <t>Falhou</t>
        </is>
      </c>
      <c r="E15" s="6" t="inlineStr">
        <is>
          <t>Bloqueado</t>
        </is>
      </c>
      <c r="F15" s="6" t="inlineStr">
        <is>
          <t>Não iniciado</t>
        </is>
      </c>
      <c r="G15" s="6" t="inlineStr">
        <is>
          <t>N/A</t>
        </is>
      </c>
      <c r="H15" s="6" t="inlineStr">
        <is>
          <t>% aprovação</t>
        </is>
      </c>
    </row>
    <row r="16">
      <c r="A16" s="7" t="inlineStr">
        <is>
          <t>Login, sessão e navegação global</t>
        </is>
      </c>
      <c r="B16" s="7">
        <f>COUNTA('02_Login_Navegacao'!$N$5:$N$500)</f>
        <v/>
      </c>
      <c r="C16" s="7">
        <f>COUNTIF('02_Login_Navegacao'!$N$5:$N$500,"Passou")</f>
        <v/>
      </c>
      <c r="D16" s="7">
        <f>COUNTIF('02_Login_Navegacao'!$N$5:$N$500,"Falhou")</f>
        <v/>
      </c>
      <c r="E16" s="7">
        <f>COUNTIF('02_Login_Navegacao'!$N$5:$N$500,"Bloqueado")</f>
        <v/>
      </c>
      <c r="F16" s="7">
        <f>COUNTIF('02_Login_Navegacao'!$N$5:$N$500,"Não iniciado")</f>
        <v/>
      </c>
      <c r="G16" s="7">
        <f>COUNTIF('02_Login_Navegacao'!$N$5:$N$500,"N/A")</f>
        <v/>
      </c>
      <c r="H16" s="7">
        <f>IF((C16+D16)=0,0,C16/(C16+D16))</f>
        <v/>
      </c>
    </row>
    <row r="17">
      <c r="A17" s="7" t="inlineStr">
        <is>
          <t>Overview</t>
        </is>
      </c>
      <c r="B17" s="7">
        <f>COUNTA('03_Overview'!$N$5:$N$500)</f>
        <v/>
      </c>
      <c r="C17" s="7">
        <f>COUNTIF('03_Overview'!$N$5:$N$500,"Passou")</f>
        <v/>
      </c>
      <c r="D17" s="7">
        <f>COUNTIF('03_Overview'!$N$5:$N$500,"Falhou")</f>
        <v/>
      </c>
      <c r="E17" s="7">
        <f>COUNTIF('03_Overview'!$N$5:$N$500,"Bloqueado")</f>
        <v/>
      </c>
      <c r="F17" s="7">
        <f>COUNTIF('03_Overview'!$N$5:$N$500,"Não iniciado")</f>
        <v/>
      </c>
      <c r="G17" s="7">
        <f>COUNTIF('03_Overview'!$N$5:$N$500,"N/A")</f>
        <v/>
      </c>
      <c r="H17" s="7">
        <f>IF((C17+D17)=0,0,C17/(C17+D17))</f>
        <v/>
      </c>
    </row>
    <row r="18">
      <c r="A18" s="7" t="inlineStr">
        <is>
          <t>Uso do App (Product Analytics)</t>
        </is>
      </c>
      <c r="B18" s="7">
        <f>COUNTA('04_Uso_App'!$N$5:$N$500)</f>
        <v/>
      </c>
      <c r="C18" s="7">
        <f>COUNTIF('04_Uso_App'!$N$5:$N$500,"Passou")</f>
        <v/>
      </c>
      <c r="D18" s="7">
        <f>COUNTIF('04_Uso_App'!$N$5:$N$500,"Falhou")</f>
        <v/>
      </c>
      <c r="E18" s="7">
        <f>COUNTIF('04_Uso_App'!$N$5:$N$500,"Bloqueado")</f>
        <v/>
      </c>
      <c r="F18" s="7">
        <f>COUNTIF('04_Uso_App'!$N$5:$N$500,"Não iniciado")</f>
        <v/>
      </c>
      <c r="G18" s="7">
        <f>COUNTIF('04_Uso_App'!$N$5:$N$500,"N/A")</f>
        <v/>
      </c>
      <c r="H18" s="7">
        <f>IF((C18+D18)=0,0,C18/(C18+D18))</f>
        <v/>
      </c>
    </row>
    <row r="19">
      <c r="A19" s="7" t="inlineStr">
        <is>
          <t>Diagnósticos</t>
        </is>
      </c>
      <c r="B19" s="7">
        <f>COUNTA('05_Diagnosticos'!$N$5:$N$500)</f>
        <v/>
      </c>
      <c r="C19" s="7">
        <f>COUNTIF('05_Diagnosticos'!$N$5:$N$500,"Passou")</f>
        <v/>
      </c>
      <c r="D19" s="7">
        <f>COUNTIF('05_Diagnosticos'!$N$5:$N$500,"Falhou")</f>
        <v/>
      </c>
      <c r="E19" s="7">
        <f>COUNTIF('05_Diagnosticos'!$N$5:$N$500,"Bloqueado")</f>
        <v/>
      </c>
      <c r="F19" s="7">
        <f>COUNTIF('05_Diagnosticos'!$N$5:$N$500,"Não iniciado")</f>
        <v/>
      </c>
      <c r="G19" s="7">
        <f>COUNTIF('05_Diagnosticos'!$N$5:$N$500,"N/A")</f>
        <v/>
      </c>
      <c r="H19" s="7">
        <f>IF((C19+D19)=0,0,C19/(C19+D19))</f>
        <v/>
      </c>
    </row>
    <row r="20">
      <c r="A20" s="7" t="inlineStr">
        <is>
          <t>Redes &amp; Operadoras</t>
        </is>
      </c>
      <c r="B20" s="7">
        <f>COUNTA('06_Redes_Operadoras'!$N$5:$N$500)</f>
        <v/>
      </c>
      <c r="C20" s="7">
        <f>COUNTIF('06_Redes_Operadoras'!$N$5:$N$500,"Passou")</f>
        <v/>
      </c>
      <c r="D20" s="7">
        <f>COUNTIF('06_Redes_Operadoras'!$N$5:$N$500,"Falhou")</f>
        <v/>
      </c>
      <c r="E20" s="7">
        <f>COUNTIF('06_Redes_Operadoras'!$N$5:$N$500,"Bloqueado")</f>
        <v/>
      </c>
      <c r="F20" s="7">
        <f>COUNTIF('06_Redes_Operadoras'!$N$5:$N$500,"Não iniciado")</f>
        <v/>
      </c>
      <c r="G20" s="7">
        <f>COUNTIF('06_Redes_Operadoras'!$N$5:$N$500,"N/A")</f>
        <v/>
      </c>
      <c r="H20" s="7">
        <f>IF((C20+D20)=0,0,C20/(C20+D20))</f>
        <v/>
      </c>
    </row>
    <row r="21">
      <c r="A21" s="7" t="inlineStr">
        <is>
          <t>IA &amp; Custos</t>
        </is>
      </c>
      <c r="B21" s="7">
        <f>COUNTA('07_IA_Custos'!$N$5:$N$500)</f>
        <v/>
      </c>
      <c r="C21" s="7">
        <f>COUNTIF('07_IA_Custos'!$N$5:$N$500,"Passou")</f>
        <v/>
      </c>
      <c r="D21" s="7">
        <f>COUNTIF('07_IA_Custos'!$N$5:$N$500,"Falhou")</f>
        <v/>
      </c>
      <c r="E21" s="7">
        <f>COUNTIF('07_IA_Custos'!$N$5:$N$500,"Bloqueado")</f>
        <v/>
      </c>
      <c r="F21" s="7">
        <f>COUNTIF('07_IA_Custos'!$N$5:$N$500,"Não iniciado")</f>
        <v/>
      </c>
      <c r="G21" s="7">
        <f>COUNTIF('07_IA_Custos'!$N$5:$N$500,"N/A")</f>
        <v/>
      </c>
      <c r="H21" s="7">
        <f>IF((C21+D21)=0,0,C21/(C21+D21))</f>
        <v/>
      </c>
    </row>
    <row r="22">
      <c r="A22" s="7" t="inlineStr">
        <is>
          <t>Problemas &amp; Incidentes</t>
        </is>
      </c>
      <c r="B22" s="7">
        <f>COUNTA('08_Problemas_Incidentes'!$N$5:$N$500)</f>
        <v/>
      </c>
      <c r="C22" s="7">
        <f>COUNTIF('08_Problemas_Incidentes'!$N$5:$N$500,"Passou")</f>
        <v/>
      </c>
      <c r="D22" s="7">
        <f>COUNTIF('08_Problemas_Incidentes'!$N$5:$N$500,"Falhou")</f>
        <v/>
      </c>
      <c r="E22" s="7">
        <f>COUNTIF('08_Problemas_Incidentes'!$N$5:$N$500,"Bloqueado")</f>
        <v/>
      </c>
      <c r="F22" s="7">
        <f>COUNTIF('08_Problemas_Incidentes'!$N$5:$N$500,"Não iniciado")</f>
        <v/>
      </c>
      <c r="G22" s="7">
        <f>COUNTIF('08_Problemas_Incidentes'!$N$5:$N$500,"N/A")</f>
        <v/>
      </c>
      <c r="H22" s="7">
        <f>IF((C22+D22)=0,0,C22/(C22+D22))</f>
        <v/>
      </c>
    </row>
    <row r="23">
      <c r="A23" s="7" t="inlineStr">
        <is>
          <t>Releases &amp; Qualidade</t>
        </is>
      </c>
      <c r="B23" s="7">
        <f>COUNTA('09_Releases_Qualidade'!$N$5:$N$500)</f>
        <v/>
      </c>
      <c r="C23" s="7">
        <f>COUNTIF('09_Releases_Qualidade'!$N$5:$N$500,"Passou")</f>
        <v/>
      </c>
      <c r="D23" s="7">
        <f>COUNTIF('09_Releases_Qualidade'!$N$5:$N$500,"Falhou")</f>
        <v/>
      </c>
      <c r="E23" s="7">
        <f>COUNTIF('09_Releases_Qualidade'!$N$5:$N$500,"Bloqueado")</f>
        <v/>
      </c>
      <c r="F23" s="7">
        <f>COUNTIF('09_Releases_Qualidade'!$N$5:$N$500,"Não iniciado")</f>
        <v/>
      </c>
      <c r="G23" s="7">
        <f>COUNTIF('09_Releases_Qualidade'!$N$5:$N$500,"N/A")</f>
        <v/>
      </c>
      <c r="H23" s="7">
        <f>IF((C23+D23)=0,0,C23/(C23+D23))</f>
        <v/>
      </c>
    </row>
    <row r="24">
      <c r="A24" s="7" t="inlineStr">
        <is>
          <t>Saúde do Sistema</t>
        </is>
      </c>
      <c r="B24" s="7">
        <f>COUNTA('10_Saude_Sistema'!$N$5:$N$500)</f>
        <v/>
      </c>
      <c r="C24" s="7">
        <f>COUNTIF('10_Saude_Sistema'!$N$5:$N$500,"Passou")</f>
        <v/>
      </c>
      <c r="D24" s="7">
        <f>COUNTIF('10_Saude_Sistema'!$N$5:$N$500,"Falhou")</f>
        <v/>
      </c>
      <c r="E24" s="7">
        <f>COUNTIF('10_Saude_Sistema'!$N$5:$N$500,"Bloqueado")</f>
        <v/>
      </c>
      <c r="F24" s="7">
        <f>COUNTIF('10_Saude_Sistema'!$N$5:$N$500,"Não iniciado")</f>
        <v/>
      </c>
      <c r="G24" s="7">
        <f>COUNTIF('10_Saude_Sistema'!$N$5:$N$500,"N/A")</f>
        <v/>
      </c>
      <c r="H24" s="7">
        <f>IF((C24+D24)=0,0,C24/(C24+D24))</f>
        <v/>
      </c>
    </row>
    <row r="25">
      <c r="A25" s="7" t="inlineStr">
        <is>
          <t>Configurações</t>
        </is>
      </c>
      <c r="B25" s="7">
        <f>COUNTA('11_Configuracoes'!$N$5:$N$500)</f>
        <v/>
      </c>
      <c r="C25" s="7">
        <f>COUNTIF('11_Configuracoes'!$N$5:$N$500,"Passou")</f>
        <v/>
      </c>
      <c r="D25" s="7">
        <f>COUNTIF('11_Configuracoes'!$N$5:$N$500,"Falhou")</f>
        <v/>
      </c>
      <c r="E25" s="7">
        <f>COUNTIF('11_Configuracoes'!$N$5:$N$500,"Bloqueado")</f>
        <v/>
      </c>
      <c r="F25" s="7">
        <f>COUNTIF('11_Configuracoes'!$N$5:$N$500,"Não iniciado")</f>
        <v/>
      </c>
      <c r="G25" s="7">
        <f>COUNTIF('11_Configuracoes'!$N$5:$N$500,"N/A")</f>
        <v/>
      </c>
      <c r="H25" s="7">
        <f>IF((C25+D25)=0,0,C25/(C25+D25))</f>
        <v/>
      </c>
    </row>
    <row r="26">
      <c r="A26" s="7" t="inlineStr">
        <is>
          <t>Ferramentas</t>
        </is>
      </c>
      <c r="B26" s="7">
        <f>COUNTA('12_Ferramentas'!$N$5:$N$500)</f>
        <v/>
      </c>
      <c r="C26" s="7">
        <f>COUNTIF('12_Ferramentas'!$N$5:$N$500,"Passou")</f>
        <v/>
      </c>
      <c r="D26" s="7">
        <f>COUNTIF('12_Ferramentas'!$N$5:$N$500,"Falhou")</f>
        <v/>
      </c>
      <c r="E26" s="7">
        <f>COUNTIF('12_Ferramentas'!$N$5:$N$500,"Bloqueado")</f>
        <v/>
      </c>
      <c r="F26" s="7">
        <f>COUNTIF('12_Ferramentas'!$N$5:$N$500,"Não iniciado")</f>
        <v/>
      </c>
      <c r="G26" s="7">
        <f>COUNTIF('12_Ferramentas'!$N$5:$N$500,"N/A")</f>
        <v/>
      </c>
      <c r="H26" s="7">
        <f>IF((C26+D26)=0,0,C26/(C26+D26))</f>
        <v/>
      </c>
    </row>
    <row r="27">
      <c r="A27" s="7" t="inlineStr">
        <is>
          <t>Jornadas completas e regressão cruzada</t>
        </is>
      </c>
      <c r="B27" s="7">
        <f>COUNTA('13_Fluxos_E2E'!$N$5:$N$500)</f>
        <v/>
      </c>
      <c r="C27" s="7">
        <f>COUNTIF('13_Fluxos_E2E'!$N$5:$N$500,"Passou")</f>
        <v/>
      </c>
      <c r="D27" s="7">
        <f>COUNTIF('13_Fluxos_E2E'!$N$5:$N$500,"Falhou")</f>
        <v/>
      </c>
      <c r="E27" s="7">
        <f>COUNTIF('13_Fluxos_E2E'!$N$5:$N$500,"Bloqueado")</f>
        <v/>
      </c>
      <c r="F27" s="7">
        <f>COUNTIF('13_Fluxos_E2E'!$N$5:$N$500,"Não iniciado")</f>
        <v/>
      </c>
      <c r="G27" s="7">
        <f>COUNTIF('13_Fluxos_E2E'!$N$5:$N$500,"N/A")</f>
        <v/>
      </c>
      <c r="H27" s="7">
        <f>IF((C27+D27)=0,0,C27/(C27+D27))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Login, sessão e navegação global</t>
        </is>
      </c>
    </row>
    <row r="2">
      <c r="A2" s="2" t="inlineStr">
        <is>
          <t>Autenticação, AppLayout (Sidebar/NavRail/BottomNav), GlobalFilters (PROD/STG, período), tema, logout.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NAV-001</t>
        </is>
      </c>
      <c r="C5" s="9" t="inlineStr">
        <is>
          <t>Login</t>
        </is>
      </c>
      <c r="D5" s="9" t="inlineStr">
        <is>
          <t>Credenciais válidas</t>
        </is>
      </c>
      <c r="E5" s="9" t="inlineStr">
        <is>
          <t>Autenticação</t>
        </is>
      </c>
      <c r="F5" s="9" t="inlineStr">
        <is>
          <t>P0</t>
        </is>
      </c>
      <c r="G5" s="9" t="inlineStr">
        <is>
          <t>Sessão deslogada (cookie 'session' ausente)</t>
        </is>
      </c>
      <c r="H5" s="9" t="inlineStr">
        <is>
          <t>1. Abrir /
2. Preencher e-mail e senha da conta de QA
3. Clicar Entrar</t>
        </is>
      </c>
      <c r="I5" s="9" t="inlineStr">
        <is>
          <t>POST /admin/auth/login retorna 200; cookie httpOnly setado; app navega para #/overview com dado real.</t>
        </is>
      </c>
      <c r="J5" s="9" t="inlineStr">
        <is>
          <t>auth.ts handleAuthLogin; LoginPage.tsx</t>
        </is>
      </c>
      <c r="K5" s="9" t="inlineStr">
        <is>
          <t>/</t>
        </is>
      </c>
      <c r="L5" s="9" t="inlineStr">
        <is>
          <t>input[type=email], input[type=password], button:has-text('Entrar')</t>
        </is>
      </c>
      <c r="M5" s="9" t="inlineStr">
        <is>
          <t>Network tab do POST /admin/auth/login + screenshot pós-login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NAV-002</t>
        </is>
      </c>
      <c r="C6" s="9" t="inlineStr">
        <is>
          <t>Login</t>
        </is>
      </c>
      <c r="D6" s="9" t="inlineStr">
        <is>
          <t>Credenciais inválidas</t>
        </is>
      </c>
      <c r="E6" s="9" t="inlineStr">
        <is>
          <t>Autenticação</t>
        </is>
      </c>
      <c r="F6" s="9" t="inlineStr">
        <is>
          <t>P0</t>
        </is>
      </c>
      <c r="G6" s="9" t="inlineStr">
        <is>
          <t>Sessão deslogada</t>
        </is>
      </c>
      <c r="H6" s="9" t="inlineStr">
        <is>
          <t>1. Preencher e-mail válido, senha errada
2. Clicar Entrar</t>
        </is>
      </c>
      <c r="I6" s="9" t="inlineStr">
        <is>
          <t>401 'E-mail ou senha inválidos'; permanece na tela de login; sem detalhe que revele se o e-mail existe.</t>
        </is>
      </c>
      <c r="J6" s="9" t="inlineStr">
        <is>
          <t>handleAuthLogin (auth.ts:143-146)</t>
        </is>
      </c>
      <c r="K6" s="9" t="inlineStr">
        <is>
          <t>/</t>
        </is>
      </c>
      <c r="L6" s="9" t="inlineStr">
        <is>
          <t>form</t>
        </is>
      </c>
      <c r="M6" s="9" t="inlineStr">
        <is>
          <t>Screenshot da mensagem de erro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NAV-003</t>
        </is>
      </c>
      <c r="C7" s="9" t="inlineStr">
        <is>
          <t>Login</t>
        </is>
      </c>
      <c r="D7" s="9" t="inlineStr">
        <is>
          <t>Rate limit</t>
        </is>
      </c>
      <c r="E7" s="9" t="inlineStr">
        <is>
          <t>Segurança</t>
        </is>
      </c>
      <c r="F7" s="9" t="inlineStr">
        <is>
          <t>P1</t>
        </is>
      </c>
      <c r="G7" s="9" t="inlineStr">
        <is>
          <t>IP sem tentativas recentes</t>
        </is>
      </c>
      <c r="H7" s="9" t="inlineStr">
        <is>
          <t>1. Errar a senha repetidamente (ver auth_rate_limit no schema para o limiar real)
2. Observar resposta</t>
        </is>
      </c>
      <c r="I7" s="9" t="inlineStr">
        <is>
          <t>429 'Muitas tentativas. Tente novamente em 15 minutos.' após o limiar.</t>
        </is>
      </c>
      <c r="J7" s="9" t="inlineStr">
        <is>
          <t>checkRateLimit/incrementRateLimit em index.ts</t>
        </is>
      </c>
      <c r="K7" s="9" t="inlineStr">
        <is>
          <t>/</t>
        </is>
      </c>
      <c r="L7" s="9" t="inlineStr">
        <is>
          <t>form</t>
        </is>
      </c>
      <c r="M7" s="9" t="inlineStr">
        <is>
          <t>Screenshot + status HTTP</t>
        </is>
      </c>
      <c r="N7" s="9" t="inlineStr">
        <is>
          <t>Não iniciado</t>
        </is>
      </c>
      <c r="O7" s="9" t="inlineStr"/>
      <c r="P7" s="9" t="inlineStr"/>
      <c r="Q7" s="9" t="inlineStr"/>
    </row>
    <row r="8">
      <c r="A8" s="9" t="n">
        <v>4</v>
      </c>
      <c r="B8" s="9" t="inlineStr">
        <is>
          <t>NAV-004</t>
        </is>
      </c>
      <c r="C8" s="9" t="inlineStr">
        <is>
          <t>AppLayout</t>
        </is>
      </c>
      <c r="D8" s="9" t="inlineStr">
        <is>
          <t>Sessão persiste ao recarregar</t>
        </is>
      </c>
      <c r="E8" s="9" t="inlineStr">
        <is>
          <t>Sessão</t>
        </is>
      </c>
      <c r="F8" s="9" t="inlineStr">
        <is>
          <t>P0</t>
        </is>
      </c>
      <c r="G8" s="9" t="inlineStr">
        <is>
          <t>Logado</t>
        </is>
      </c>
      <c r="H8" s="9" t="inlineStr">
        <is>
          <t>1. Logar
2. F5 / reload da página</t>
        </is>
      </c>
      <c r="I8" s="9" t="inlineStr">
        <is>
          <t>GET /admin/auth/me retorna 200 com email/role; app não volta para tela de login (cookie httpOnly + credentials:include).</t>
        </is>
      </c>
      <c r="J8" s="9" t="inlineStr">
        <is>
          <t>App.tsx useEffect inicial + GH#1054 (checagem de content-type JSON)</t>
        </is>
      </c>
      <c r="K8" s="9" t="inlineStr">
        <is>
          <t>/#/overview</t>
        </is>
      </c>
      <c r="L8" s="9" t="inlineStr">
        <is>
          <t>-</t>
        </is>
      </c>
      <c r="M8" s="9" t="inlineStr">
        <is>
          <t>Network tab de /admin/auth/me</t>
        </is>
      </c>
      <c r="N8" s="9" t="inlineStr">
        <is>
          <t>Não iniciado</t>
        </is>
      </c>
      <c r="O8" s="9" t="inlineStr"/>
      <c r="P8" s="9" t="inlineStr"/>
      <c r="Q8" s="9" t="inlineStr"/>
    </row>
    <row r="9">
      <c r="A9" s="9" t="n">
        <v>5</v>
      </c>
      <c r="B9" s="9" t="inlineStr">
        <is>
          <t>NAV-005</t>
        </is>
      </c>
      <c r="C9" s="9" t="inlineStr">
        <is>
          <t>AppLayout</t>
        </is>
      </c>
      <c r="D9" s="9" t="inlineStr">
        <is>
          <t>Logout</t>
        </is>
      </c>
      <c r="E9" s="9" t="inlineStr">
        <is>
          <t>Sessão</t>
        </is>
      </c>
      <c r="F9" s="9" t="inlineStr">
        <is>
          <t>P0</t>
        </is>
      </c>
      <c r="G9" s="9" t="inlineStr">
        <is>
          <t>Logado</t>
        </is>
      </c>
      <c r="H9" s="9" t="inlineStr">
        <is>
          <t>1. Clicar em sair/logout</t>
        </is>
      </c>
      <c r="I9" s="9" t="inlineStr">
        <is>
          <t>POST /admin/auth/logout; cookie invalidado (Max-Age=0); volta para tela de login.</t>
        </is>
      </c>
      <c r="J9" s="9" t="inlineStr">
        <is>
          <t>handleAuthLogout (auth.ts)</t>
        </is>
      </c>
      <c r="K9" s="9" t="inlineStr">
        <is>
          <t>/#/overview</t>
        </is>
      </c>
      <c r="L9" s="9" t="inlineStr">
        <is>
          <t>button[aria-label*=sair], button:has-text('Sair')</t>
        </is>
      </c>
      <c r="M9" s="9" t="inlineStr">
        <is>
          <t>Screenshot pós-logout</t>
        </is>
      </c>
      <c r="N9" s="9" t="inlineStr">
        <is>
          <t>Não iniciado</t>
        </is>
      </c>
      <c r="O9" s="9" t="inlineStr"/>
      <c r="P9" s="9" t="inlineStr"/>
      <c r="Q9" s="9" t="inlineStr"/>
    </row>
    <row r="10">
      <c r="A10" s="9" t="n">
        <v>6</v>
      </c>
      <c r="B10" s="9" t="inlineStr">
        <is>
          <t>NAV-006</t>
        </is>
      </c>
      <c r="C10" s="9" t="inlineStr">
        <is>
          <t>Sidebar/NavRail</t>
        </is>
      </c>
      <c r="D10" s="9" t="inlineStr">
        <is>
          <t>Navegar entre as 10 telas</t>
        </is>
      </c>
      <c r="E10" s="9" t="inlineStr">
        <is>
          <t>Navegação</t>
        </is>
      </c>
      <c r="F10" s="9" t="inlineStr">
        <is>
          <t>P0</t>
        </is>
      </c>
      <c r="G10" s="9" t="inlineStr">
        <is>
          <t>Logado, viewport desktop</t>
        </is>
      </c>
      <c r="H10" s="9" t="inlineStr">
        <is>
          <t>1. Clicar em cada item da Sidebar
2. Conferir hash da URL e título da tela</t>
        </is>
      </c>
      <c r="I10" s="9" t="inlineStr">
        <is>
          <t>Cada clique atualiza window.location.hash e renderiza o Tab correspondente sem reload de página inteira.</t>
        </is>
      </c>
      <c r="J10" s="9" t="inlineStr">
        <is>
          <t>App.tsx handleNavigate + AppLayout.tsx</t>
        </is>
      </c>
      <c r="K10" s="9" t="inlineStr">
        <is>
          <t>/#/overview .. /#/tools</t>
        </is>
      </c>
      <c r="L10" s="9" t="inlineStr">
        <is>
          <t>nav a, nav button</t>
        </is>
      </c>
      <c r="M10" s="9" t="inlineStr">
        <is>
          <t>Screenshot de cada transição</t>
        </is>
      </c>
      <c r="N10" s="9" t="inlineStr">
        <is>
          <t>Não iniciado</t>
        </is>
      </c>
      <c r="O10" s="9" t="inlineStr"/>
      <c r="P10" s="9" t="inlineStr"/>
      <c r="Q10" s="9" t="inlineStr"/>
    </row>
    <row r="11">
      <c r="A11" s="9" t="n">
        <v>7</v>
      </c>
      <c r="B11" s="9" t="inlineStr">
        <is>
          <t>NAV-007</t>
        </is>
      </c>
      <c r="C11" s="9" t="inlineStr">
        <is>
          <t>GlobalFilters</t>
        </is>
      </c>
      <c r="D11" s="9" t="inlineStr">
        <is>
          <t>Alternar PROD/STG</t>
        </is>
      </c>
      <c r="E11" s="9" t="inlineStr">
        <is>
          <t>Filtro</t>
        </is>
      </c>
      <c r="F11" s="9" t="inlineStr">
        <is>
          <t>P0</t>
        </is>
      </c>
      <c r="G11" s="9" t="inlineStr">
        <is>
          <t>Logado, em qualquer tela exceto Configurações</t>
        </is>
      </c>
      <c r="H11" s="9" t="inlineStr">
        <is>
          <t>1. Alternar toggle PROD/STG
2. Observar métricas recarregarem</t>
        </is>
      </c>
      <c r="I11" s="9" t="inlineStr">
        <is>
          <t>Valor persiste em sessionStorage('signallq_env_filter'); dados da tela mudam conforme ambiente.</t>
        </is>
      </c>
      <c r="J11" s="9" t="inlineStr">
        <is>
          <t>App.tsx handleEnvironmentChange</t>
        </is>
      </c>
      <c r="K11" s="9" t="inlineStr">
        <is>
          <t>/#/overview</t>
        </is>
      </c>
      <c r="L11" s="9" t="inlineStr">
        <is>
          <t>text=PROD, text=STG</t>
        </is>
      </c>
      <c r="M11" s="9" t="inlineStr">
        <is>
          <t>Screenshot antes/depois</t>
        </is>
      </c>
      <c r="N11" s="9" t="inlineStr">
        <is>
          <t>Não iniciado</t>
        </is>
      </c>
      <c r="O11" s="9" t="inlineStr"/>
      <c r="P11" s="9" t="inlineStr"/>
      <c r="Q11" s="9" t="inlineStr"/>
    </row>
    <row r="12">
      <c r="A12" s="9" t="n">
        <v>8</v>
      </c>
      <c r="B12" s="9" t="inlineStr">
        <is>
          <t>NAV-008</t>
        </is>
      </c>
      <c r="C12" s="9" t="inlineStr">
        <is>
          <t>GlobalFilters</t>
        </is>
      </c>
      <c r="D12" s="9" t="inlineStr">
        <is>
          <t>Trocar período</t>
        </is>
      </c>
      <c r="E12" s="9" t="inlineStr">
        <is>
          <t>Filtro</t>
        </is>
      </c>
      <c r="F12" s="9" t="inlineStr">
        <is>
          <t>P0</t>
        </is>
      </c>
      <c r="G12" s="9" t="inlineStr">
        <is>
          <t>Logado</t>
        </is>
      </c>
      <c r="H12" s="9" t="inlineStr">
        <is>
          <t>1. Selecionar Hoje / 7 dias / 30 dias / Personalizado</t>
        </is>
      </c>
      <c r="I12" s="9" t="inlineStr">
        <is>
          <t>Métricas recalculam para o período; persiste em sessionStorage('signallq_period_filter').</t>
        </is>
      </c>
      <c r="J12" s="9" t="inlineStr">
        <is>
          <t>App.tsx handlePeriodChange</t>
        </is>
      </c>
      <c r="K12" s="9" t="inlineStr">
        <is>
          <t>/#/overview</t>
        </is>
      </c>
      <c r="L12" s="9" t="inlineStr">
        <is>
          <t>text=Últimos 7 dias</t>
        </is>
      </c>
      <c r="M12" s="9" t="inlineStr">
        <is>
          <t>Screenshot</t>
        </is>
      </c>
      <c r="N12" s="9" t="inlineStr">
        <is>
          <t>Não iniciado</t>
        </is>
      </c>
      <c r="O12" s="9" t="inlineStr"/>
      <c r="P12" s="9" t="inlineStr"/>
      <c r="Q12" s="9" t="inlineStr"/>
    </row>
    <row r="13">
      <c r="A13" s="9" t="n">
        <v>9</v>
      </c>
      <c r="B13" s="9" t="inlineStr">
        <is>
          <t>NAV-009</t>
        </is>
      </c>
      <c r="C13" s="9" t="inlineStr">
        <is>
          <t>AppLayout</t>
        </is>
      </c>
      <c r="D13" s="9" t="inlineStr">
        <is>
          <t>Toggle de tema claro/escuro</t>
        </is>
      </c>
      <c r="E13" s="9" t="inlineStr">
        <is>
          <t>Visual</t>
        </is>
      </c>
      <c r="F13" s="9" t="inlineStr">
        <is>
          <t>P1</t>
        </is>
      </c>
      <c r="G13" s="9" t="inlineStr">
        <is>
          <t>Logado</t>
        </is>
      </c>
      <c r="H13" s="9" t="inlineStr">
        <is>
          <t>1. Clicar no botão de tema</t>
        </is>
      </c>
      <c r="I13" s="9" t="inlineStr">
        <is>
          <t>Alterna data-theme na raiz; paleta muda conforme SignallQ Admin/DESIGN.md (tokens claro/escuro).</t>
        </is>
      </c>
      <c r="J13" s="9" t="inlineStr">
        <is>
          <t>useTheme hook; index.css</t>
        </is>
      </c>
      <c r="K13" s="9" t="inlineStr">
        <is>
          <t>qualquer tela</t>
        </is>
      </c>
      <c r="L13" s="9" t="inlineStr">
        <is>
          <t>button[aria-label*=tema]</t>
        </is>
      </c>
      <c r="M13" s="9" t="inlineStr">
        <is>
          <t>Screenshot claro + escuro</t>
        </is>
      </c>
      <c r="N13" s="9" t="inlineStr">
        <is>
          <t>Não iniciado</t>
        </is>
      </c>
      <c r="O13" s="9" t="inlineStr"/>
      <c r="P13" s="9" t="inlineStr"/>
      <c r="Q13" s="9" t="inlineStr"/>
    </row>
    <row r="14">
      <c r="A14" s="9" t="n">
        <v>10</v>
      </c>
      <c r="B14" s="9" t="inlineStr">
        <is>
          <t>NAV-010</t>
        </is>
      </c>
      <c r="C14" s="9" t="inlineStr">
        <is>
          <t>AppLayout</t>
        </is>
      </c>
      <c r="D14" s="9" t="inlineStr">
        <is>
          <t>Responsivo — Sidebar vs NavRail vs BottomNav</t>
        </is>
      </c>
      <c r="E14" s="9" t="inlineStr">
        <is>
          <t>Visual</t>
        </is>
      </c>
      <c r="F14" s="9" t="inlineStr">
        <is>
          <t>P1</t>
        </is>
      </c>
      <c r="G14" s="9" t="inlineStr">
        <is>
          <t>Logado</t>
        </is>
      </c>
      <c r="H14" s="9" t="inlineStr">
        <is>
          <t>1. Redimensionar para 1280×800 (desktop), 768×1024 (tablet) e 375×812 (mobile)
2. Conferir qual componente de navegação renderiza</t>
        </is>
      </c>
      <c r="I14" s="9" t="inlineStr">
        <is>
          <t>Desktop: Nav Drawer completo. Tablet: NavRail ícone-only. Mobile: BottomNav 5 itens — ver DESIGN.md seção Navigation.</t>
        </is>
      </c>
      <c r="J14" s="9" t="inlineStr">
        <is>
          <t>AppLayout.tsx, NavRail.tsx, BottomNav.tsx</t>
        </is>
      </c>
      <c r="K14" s="9" t="inlineStr">
        <is>
          <t>qualquer tela</t>
        </is>
      </c>
      <c r="L14" s="9" t="inlineStr">
        <is>
          <t>-</t>
        </is>
      </c>
      <c r="M14" s="9" t="inlineStr">
        <is>
          <t>Screenshot nos 3 breakpoints</t>
        </is>
      </c>
      <c r="N14" s="9" t="inlineStr">
        <is>
          <t>Não iniciado</t>
        </is>
      </c>
      <c r="O14" s="9" t="inlineStr"/>
      <c r="P14" s="9" t="inlineStr"/>
      <c r="Q1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Overview</t>
        </is>
      </c>
    </row>
    <row r="2">
      <c r="A2" s="2" t="inlineStr">
        <is>
          <t>KPI hero e resumo executivo — primeira tela pós-login.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OVW-001</t>
        </is>
      </c>
      <c r="C5" s="9" t="inlineStr">
        <is>
          <t>Overview</t>
        </is>
      </c>
      <c r="D5" s="9" t="inlineStr">
        <is>
          <t>Carregamento inicial com dado real</t>
        </is>
      </c>
      <c r="E5" s="9" t="inlineStr">
        <is>
          <t>Dados</t>
        </is>
      </c>
      <c r="F5" s="9" t="inlineStr">
        <is>
          <t>P0</t>
        </is>
      </c>
      <c r="G5" s="9" t="inlineStr">
        <is>
          <t>Logado, ambiente PROD</t>
        </is>
      </c>
      <c r="H5" s="9" t="inlineStr">
        <is>
          <t>1. Navegar para #/overview
2. Aguardar carregamento</t>
        </is>
      </c>
      <c r="I5" s="9" t="inlineStr">
        <is>
          <t>KPIs renderizam sem 'undefined'/'NaN'; contagem de alertas não lidos visível no topo.</t>
        </is>
      </c>
      <c r="J5" s="9" t="inlineStr">
        <is>
          <t>OverviewTab.tsx</t>
        </is>
      </c>
      <c r="K5" s="9" t="inlineStr">
        <is>
          <t>/#/overview</t>
        </is>
      </c>
      <c r="L5" s="9" t="inlineStr">
        <is>
          <t>-</t>
        </is>
      </c>
      <c r="M5" s="9" t="inlineStr">
        <is>
          <t>Screenshot + innerText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OVW-002</t>
        </is>
      </c>
      <c r="C6" s="9" t="inlineStr">
        <is>
          <t>Overview</t>
        </is>
      </c>
      <c r="D6" s="9" t="inlineStr">
        <is>
          <t>Badge de alertas não lidos</t>
        </is>
      </c>
      <c r="E6" s="9" t="inlineStr">
        <is>
          <t>Alertas</t>
        </is>
      </c>
      <c r="F6" s="9" t="inlineStr">
        <is>
          <t>P1</t>
        </is>
      </c>
      <c r="G6" s="9" t="inlineStr">
        <is>
          <t>Há pelo menos 1 alerta</t>
        </is>
      </c>
      <c r="H6" s="9" t="inlineStr">
        <is>
          <t>1. Observar badge 'Alertas não lidos (N)'
2. Clicar</t>
        </is>
      </c>
      <c r="I6" s="9" t="inlineStr">
        <is>
          <t>Badge mostra contagem correta; clique navega para o detalhe/tela relevante do alerta.</t>
        </is>
      </c>
      <c r="J6" s="9" t="inlineStr">
        <is>
          <t>OverviewTab.tsx onNavigate</t>
        </is>
      </c>
      <c r="K6" s="9" t="inlineStr">
        <is>
          <t>/#/overview</t>
        </is>
      </c>
      <c r="L6" s="9" t="inlineStr">
        <is>
          <t>text=Alertas não lidos</t>
        </is>
      </c>
      <c r="M6" s="9" t="inlineStr">
        <is>
          <t>Screenshot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OVW-003</t>
        </is>
      </c>
      <c r="C7" s="9" t="inlineStr">
        <is>
          <t>Overview</t>
        </is>
      </c>
      <c r="D7" s="9" t="inlineStr">
        <is>
          <t>Navegação por atalho de card</t>
        </is>
      </c>
      <c r="E7" s="9" t="inlineStr">
        <is>
          <t>Navegação</t>
        </is>
      </c>
      <c r="F7" s="9" t="inlineStr">
        <is>
          <t>P1</t>
        </is>
      </c>
      <c r="G7" s="9" t="inlineStr">
        <is>
          <t>Logado</t>
        </is>
      </c>
      <c r="H7" s="9" t="inlineStr">
        <is>
          <t>1. Clicar em um card/KPI que linke para outra tela
2. Conferir destino</t>
        </is>
      </c>
      <c r="I7" s="9" t="inlineStr">
        <is>
          <t>onNavigate leva para a tela correta (ex.: card de custo IA → #/ai-cost).</t>
        </is>
      </c>
      <c r="J7" s="9" t="inlineStr">
        <is>
          <t>OverviewTab.tsx</t>
        </is>
      </c>
      <c r="K7" s="9" t="inlineStr">
        <is>
          <t>/#/overview</t>
        </is>
      </c>
      <c r="L7" s="9" t="inlineStr">
        <is>
          <t>-</t>
        </is>
      </c>
      <c r="M7" s="9" t="inlineStr">
        <is>
          <t>Screenshot antes/depois</t>
        </is>
      </c>
      <c r="N7" s="9" t="inlineStr">
        <is>
          <t>Não iniciado</t>
        </is>
      </c>
      <c r="O7" s="9" t="inlineStr"/>
      <c r="P7" s="9" t="inlineStr"/>
      <c r="Q7" s="9" t="inlineStr"/>
    </row>
    <row r="8">
      <c r="A8" s="9" t="n">
        <v>4</v>
      </c>
      <c r="B8" s="9" t="inlineStr">
        <is>
          <t>OVW-004</t>
        </is>
      </c>
      <c r="C8" s="9" t="inlineStr">
        <is>
          <t>Overview</t>
        </is>
      </c>
      <c r="D8" s="9" t="inlineStr">
        <is>
          <t>Refresh manual</t>
        </is>
      </c>
      <c r="E8" s="9" t="inlineStr">
        <is>
          <t>Dados</t>
        </is>
      </c>
      <c r="F8" s="9" t="inlineStr">
        <is>
          <t>P2</t>
        </is>
      </c>
      <c r="G8" s="9" t="inlineStr">
        <is>
          <t>Logado</t>
        </is>
      </c>
      <c r="H8" s="9" t="inlineStr">
        <is>
          <t>1. Clicar no botão de refresh do topo</t>
        </is>
      </c>
      <c r="I8" s="9" t="inlineStr">
        <is>
          <t>isRefreshing exibe indicador por ~350ms; triggerRefreshCounter incrementa e recarrega os dados da tela.</t>
        </is>
      </c>
      <c r="J8" s="9" t="inlineStr">
        <is>
          <t>App.tsx handleRefresh</t>
        </is>
      </c>
      <c r="K8" s="9" t="inlineStr">
        <is>
          <t>/#/overview</t>
        </is>
      </c>
      <c r="L8" s="9" t="inlineStr">
        <is>
          <t>button[aria-label*=atualizar]</t>
        </is>
      </c>
      <c r="M8" s="9" t="inlineStr">
        <is>
          <t>Screenshot durante e depois do spinner</t>
        </is>
      </c>
      <c r="N8" s="9" t="inlineStr">
        <is>
          <t>Não iniciado</t>
        </is>
      </c>
      <c r="O8" s="9" t="inlineStr"/>
      <c r="P8" s="9" t="inlineStr"/>
      <c r="Q8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Uso do App (Product Analytics)</t>
        </is>
      </c>
    </row>
    <row r="2">
      <c r="A2" s="2" t="inlineStr">
        <is>
          <t>Engajamento, retenção, sessões e dispositivos via Firebase Analytics.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USO-001</t>
        </is>
      </c>
      <c r="C5" s="9" t="inlineStr">
        <is>
          <t>Uso do App</t>
        </is>
      </c>
      <c r="D5" s="9" t="inlineStr">
        <is>
          <t>KPI Retenção D1</t>
        </is>
      </c>
      <c r="E5" s="9" t="inlineStr">
        <is>
          <t>Dados</t>
        </is>
      </c>
      <c r="F5" s="9" t="inlineStr">
        <is>
          <t>P0</t>
        </is>
      </c>
      <c r="G5" s="9" t="inlineStr">
        <is>
          <t>Logado</t>
        </is>
      </c>
      <c r="H5" s="9" t="inlineStr">
        <is>
          <t>1. Abrir #/product-analytics
2. Ler card Retenção D1</t>
        </is>
      </c>
      <c r="I5" s="9" t="inlineStr">
        <is>
          <t>Mostra percentual + veredito humano (Excelente/Bom/Regular/Fraco) + referência de mercado (25-40%) — regra 'Verdict-Beside-Metric' do DESIGN.md.</t>
        </is>
      </c>
      <c r="J5" s="9" t="inlineStr">
        <is>
          <t>ProductAnalyticsTab.tsx; DESIGN.md 'Verdict-Beside-Metric Rule'</t>
        </is>
      </c>
      <c r="K5" s="9" t="inlineStr">
        <is>
          <t>/#/product-analytics</t>
        </is>
      </c>
      <c r="L5" s="9" t="inlineStr">
        <is>
          <t>-</t>
        </is>
      </c>
      <c r="M5" s="9" t="inlineStr">
        <is>
          <t>Screenshot + innerText do card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USO-002</t>
        </is>
      </c>
      <c r="C6" s="9" t="inlineStr">
        <is>
          <t>Uso do App</t>
        </is>
      </c>
      <c r="D6" s="9" t="inlineStr">
        <is>
          <t>Retenção D7 'Em breve'</t>
        </is>
      </c>
      <c r="E6" s="9" t="inlineStr">
        <is>
          <t>Dados</t>
        </is>
      </c>
      <c r="F6" s="9" t="inlineStr">
        <is>
          <t>P2</t>
        </is>
      </c>
      <c r="G6" s="9" t="inlineStr">
        <is>
          <t>Logado</t>
        </is>
      </c>
      <c r="H6" s="9" t="inlineStr">
        <is>
          <t>1. Ler card Retenção D7</t>
        </is>
      </c>
      <c r="I6" s="9" t="inlineStr">
        <is>
          <t>Rotulado explicitamente 'Em breve' — não é bug, é feature não lançada. Confirmar que não aparenta erro/crash.</t>
        </is>
      </c>
      <c r="J6" s="9" t="inlineStr">
        <is>
          <t>ProductAnalyticsTab.tsx</t>
        </is>
      </c>
      <c r="K6" s="9" t="inlineStr">
        <is>
          <t>/#/product-analytics</t>
        </is>
      </c>
      <c r="L6" s="9" t="inlineStr">
        <is>
          <t>-</t>
        </is>
      </c>
      <c r="M6" s="9" t="inlineStr">
        <is>
          <t>Screenshot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USO-003</t>
        </is>
      </c>
      <c r="C7" s="9" t="inlineStr">
        <is>
          <t>Uso do App</t>
        </is>
      </c>
      <c r="D7" s="9" t="inlineStr">
        <is>
          <t>Duração média de sessão sem dado</t>
        </is>
      </c>
      <c r="E7" s="9" t="inlineStr">
        <is>
          <t>Dados</t>
        </is>
      </c>
      <c r="F7" s="9" t="inlineStr">
        <is>
          <t>P2</t>
        </is>
      </c>
      <c r="G7" s="9" t="inlineStr">
        <is>
          <t>Ambiente/período sem dado suficiente</t>
        </is>
      </c>
      <c r="H7" s="9" t="inlineStr">
        <is>
          <t>1. Alternar para STG ou período sem volume
2. Ler card</t>
        </is>
      </c>
      <c r="I7" s="9" t="inlineStr">
        <is>
          <t>Mostra '—' (travessão), não '0' nem 'NaN', quando não há dado suficiente.</t>
        </is>
      </c>
      <c r="J7" s="9" t="inlineStr">
        <is>
          <t>ProductAnalyticsTab.tsx</t>
        </is>
      </c>
      <c r="K7" s="9" t="inlineStr">
        <is>
          <t>/#/product-analytics</t>
        </is>
      </c>
      <c r="L7" s="9" t="inlineStr">
        <is>
          <t>-</t>
        </is>
      </c>
      <c r="M7" s="9" t="inlineStr">
        <is>
          <t>Screenshot</t>
        </is>
      </c>
      <c r="N7" s="9" t="inlineStr">
        <is>
          <t>Não iniciado</t>
        </is>
      </c>
      <c r="O7" s="9" t="inlineStr"/>
      <c r="P7" s="9" t="inlineStr"/>
      <c r="Q7" s="9" t="inlineStr"/>
    </row>
    <row r="8">
      <c r="A8" s="9" t="n">
        <v>4</v>
      </c>
      <c r="B8" s="9" t="inlineStr">
        <is>
          <t>USO-004</t>
        </is>
      </c>
      <c r="C8" s="9" t="inlineStr">
        <is>
          <t>Uso do App</t>
        </is>
      </c>
      <c r="D8" s="9" t="inlineStr">
        <is>
          <t>Fonte de dado declarada</t>
        </is>
      </c>
      <c r="E8" s="9" t="inlineStr">
        <is>
          <t>Transparência</t>
        </is>
      </c>
      <c r="F8" s="9" t="inlineStr">
        <is>
          <t>P1</t>
        </is>
      </c>
      <c r="G8" s="9" t="inlineStr">
        <is>
          <t>Logado</t>
        </is>
      </c>
      <c r="H8" s="9" t="inlineStr">
        <is>
          <t>1. Localizar rótulo 'FONTE · FIREBASE ANALYTICS (ANALYTICS_EVENTS)'</t>
        </is>
      </c>
      <c r="I8" s="9" t="inlineStr">
        <is>
          <t>Toda seção principal declara a fonte real do dado — não-negociável do North Star 'Operator's Console' (nunca fabricar número).</t>
        </is>
      </c>
      <c r="J8" s="9" t="inlineStr">
        <is>
          <t>PRODUCT.md / DESIGN.md North Star</t>
        </is>
      </c>
      <c r="K8" s="9" t="inlineStr">
        <is>
          <t>/#/product-analytics</t>
        </is>
      </c>
      <c r="L8" s="9" t="inlineStr">
        <is>
          <t>-</t>
        </is>
      </c>
      <c r="M8" s="9" t="inlineStr">
        <is>
          <t>Screenshot</t>
        </is>
      </c>
      <c r="N8" s="9" t="inlineStr">
        <is>
          <t>Não iniciado</t>
        </is>
      </c>
      <c r="O8" s="9" t="inlineStr"/>
      <c r="P8" s="9" t="inlineStr"/>
      <c r="Q8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Diagnósticos</t>
        </is>
      </c>
    </row>
    <row r="2">
      <c r="A2" s="2" t="inlineStr">
        <is>
          <t>Volume, taxa de sucesso e motivos de falha das varreduras de conectividade.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DIA-001</t>
        </is>
      </c>
      <c r="C5" s="9" t="inlineStr">
        <is>
          <t>Diagnósticos</t>
        </is>
      </c>
      <c r="D5" s="9" t="inlineStr">
        <is>
          <t>Contagem de diagnósticos executados</t>
        </is>
      </c>
      <c r="E5" s="9" t="inlineStr">
        <is>
          <t>Dados</t>
        </is>
      </c>
      <c r="F5" s="9" t="inlineStr">
        <is>
          <t>P0</t>
        </is>
      </c>
      <c r="G5" s="9" t="inlineStr">
        <is>
          <t>Logado, período 7d</t>
        </is>
      </c>
      <c r="H5" s="9" t="inlineStr">
        <is>
          <t>1. Abrir #/diagnostics
2. Ler 'DIAGNÓSTICOS EXECUTADOS (7D)'</t>
        </is>
      </c>
      <c r="I5" s="9" t="inlineStr">
        <is>
          <t>Número real (ex.: 25 no momento da auditoria) com comparativo de período anterior.</t>
        </is>
      </c>
      <c r="J5" s="9" t="inlineStr">
        <is>
          <t>DiagnosticsTab.tsx; fonte DIAGNOSTIC_SESSIONS</t>
        </is>
      </c>
      <c r="K5" s="9" t="inlineStr">
        <is>
          <t>/#/diagnostics</t>
        </is>
      </c>
      <c r="L5" s="9" t="inlineStr">
        <is>
          <t>-</t>
        </is>
      </c>
      <c r="M5" s="9" t="inlineStr">
        <is>
          <t>Screenshot + innerText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DIA-002</t>
        </is>
      </c>
      <c r="C6" s="9" t="inlineStr">
        <is>
          <t>Diagnósticos</t>
        </is>
      </c>
      <c r="D6" s="9" t="inlineStr">
        <is>
          <t>Filtro de ambiente afeta contagem</t>
        </is>
      </c>
      <c r="E6" s="9" t="inlineStr">
        <is>
          <t>Filtro</t>
        </is>
      </c>
      <c r="F6" s="9" t="inlineStr">
        <is>
          <t>P1</t>
        </is>
      </c>
      <c r="G6" s="9" t="inlineStr">
        <is>
          <t>Logado</t>
        </is>
      </c>
      <c r="H6" s="9" t="inlineStr">
        <is>
          <t>1. Alternar PROD/STG
2. Comparar contagem de diagnósticos</t>
        </is>
      </c>
      <c r="I6" s="9" t="inlineStr">
        <is>
          <t>Contagem muda de forma consistente com o ambiente selecionado (não fica travada).</t>
        </is>
      </c>
      <c r="J6" s="9" t="inlineStr">
        <is>
          <t>DiagnosticsTab.tsx onEnvironmentChange</t>
        </is>
      </c>
      <c r="K6" s="9" t="inlineStr">
        <is>
          <t>/#/diagnostics</t>
        </is>
      </c>
      <c r="L6" s="9" t="inlineStr">
        <is>
          <t>-</t>
        </is>
      </c>
      <c r="M6" s="9" t="inlineStr">
        <is>
          <t>Screenshot antes/depois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DIA-003</t>
        </is>
      </c>
      <c r="C7" s="9" t="inlineStr">
        <is>
          <t>Diagnósticos</t>
        </is>
      </c>
      <c r="D7" s="9" t="inlineStr">
        <is>
          <t>Taxa de sucesso vs falha</t>
        </is>
      </c>
      <c r="E7" s="9" t="inlineStr">
        <is>
          <t>Dados</t>
        </is>
      </c>
      <c r="F7" s="9" t="inlineStr">
        <is>
          <t>P0</t>
        </is>
      </c>
      <c r="G7" s="9" t="inlineStr">
        <is>
          <t>Logado</t>
        </is>
      </c>
      <c r="H7" s="9" t="inlineStr">
        <is>
          <t>1. Localizar breakdown de sucesso/falha e motivos</t>
        </is>
      </c>
      <c r="I7" s="9" t="inlineStr">
        <is>
          <t>Soma de sucesso+falha bate com o total executado; motivos de falha nomeados (não genérico 'erro').</t>
        </is>
      </c>
      <c r="J7" s="9" t="inlineStr">
        <is>
          <t>DiagnosticsTab.tsx</t>
        </is>
      </c>
      <c r="K7" s="9" t="inlineStr">
        <is>
          <t>/#/diagnostics</t>
        </is>
      </c>
      <c r="L7" s="9" t="inlineStr">
        <is>
          <t>-</t>
        </is>
      </c>
      <c r="M7" s="9" t="inlineStr">
        <is>
          <t>Screenshot</t>
        </is>
      </c>
      <c r="N7" s="9" t="inlineStr">
        <is>
          <t>Não iniciado</t>
        </is>
      </c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Redes &amp; Operadoras</t>
        </is>
      </c>
    </row>
    <row r="2">
      <c r="A2" s="2" t="inlineStr">
        <is>
          <t>Fusão de /networks + /operators (GH#552 Fase 2) — qualidade de rede por tipo/operadora.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RED-001</t>
        </is>
      </c>
      <c r="C5" s="9" t="inlineStr">
        <is>
          <t>Redes &amp; Operadoras</t>
        </is>
      </c>
      <c r="D5" s="9" t="inlineStr">
        <is>
          <t>Slug legado /operators redireciona/funciona</t>
        </is>
      </c>
      <c r="E5" s="9" t="inlineStr">
        <is>
          <t>Navegação</t>
        </is>
      </c>
      <c r="F5" s="9" t="inlineStr">
        <is>
          <t>P1</t>
        </is>
      </c>
      <c r="G5" s="9" t="inlineStr">
        <is>
          <t>Logado</t>
        </is>
      </c>
      <c r="H5" s="9" t="inlineStr">
        <is>
          <t>1. Navegar direto para #/operators (URL manual)
2. Conferir renderização</t>
        </is>
      </c>
      <c r="I5" s="9" t="inlineStr">
        <is>
          <t>Renderiza o mesmo NetworksTab que #/networks (fusão GH#552) — não deve dar tela em branco/404.</t>
        </is>
      </c>
      <c r="J5" s="9" t="inlineStr">
        <is>
          <t>App.tsx linha 229 (currentPath === '/networks' || '/operators')</t>
        </is>
      </c>
      <c r="K5" s="9" t="inlineStr">
        <is>
          <t>/#/operators</t>
        </is>
      </c>
      <c r="L5" s="9" t="inlineStr">
        <is>
          <t>-</t>
        </is>
      </c>
      <c r="M5" s="9" t="inlineStr">
        <is>
          <t>Screenshot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RED-002</t>
        </is>
      </c>
      <c r="C6" s="9" t="inlineStr">
        <is>
          <t>Redes &amp; Operadoras</t>
        </is>
      </c>
      <c r="D6" s="9" t="inlineStr">
        <is>
          <t>Agregação por tipo de rede</t>
        </is>
      </c>
      <c r="E6" s="9" t="inlineStr">
        <is>
          <t>Dados</t>
        </is>
      </c>
      <c r="F6" s="9" t="inlineStr">
        <is>
          <t>P0</t>
        </is>
      </c>
      <c r="G6" s="9" t="inlineStr">
        <is>
          <t>Logado</t>
        </is>
      </c>
      <c r="H6" s="9" t="inlineStr">
        <is>
          <t>1. Abrir #/networks
2. Ler agregação 'qualidade de rede por tipo e operadora'</t>
        </is>
      </c>
      <c r="I6" s="9" t="inlineStr">
        <is>
          <t>Lista/gráfico com tipos reais (Wi-Fi, móvel, fibra) e operadoras nomeadas, sem categoria genérica vazia.</t>
        </is>
      </c>
      <c r="J6" s="9" t="inlineStr">
        <is>
          <t>NetworksTab.tsx</t>
        </is>
      </c>
      <c r="K6" s="9" t="inlineStr">
        <is>
          <t>/#/networks</t>
        </is>
      </c>
      <c r="L6" s="9" t="inlineStr">
        <is>
          <t>-</t>
        </is>
      </c>
      <c r="M6" s="9" t="inlineStr">
        <is>
          <t>Screenshot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RED-003</t>
        </is>
      </c>
      <c r="C7" s="9" t="inlineStr">
        <is>
          <t>Redes &amp; Operadoras</t>
        </is>
      </c>
      <c r="D7" s="9" t="inlineStr">
        <is>
          <t>Sem dado no período</t>
        </is>
      </c>
      <c r="E7" s="9" t="inlineStr">
        <is>
          <t>Dados</t>
        </is>
      </c>
      <c r="F7" s="9" t="inlineStr">
        <is>
          <t>P2</t>
        </is>
      </c>
      <c r="G7" s="9" t="inlineStr">
        <is>
          <t>Período sem volume</t>
        </is>
      </c>
      <c r="H7" s="9" t="inlineStr">
        <is>
          <t>1. Selecionar período sem dado
2. Observar estado vazio</t>
        </is>
      </c>
      <c r="I7" s="9" t="inlineStr">
        <is>
          <t>Estado vazio explícito (não card quebrado/'0' sem contexto).</t>
        </is>
      </c>
      <c r="J7" s="9" t="inlineStr">
        <is>
          <t>NetworksTab.tsx</t>
        </is>
      </c>
      <c r="K7" s="9" t="inlineStr">
        <is>
          <t>/#/networks</t>
        </is>
      </c>
      <c r="L7" s="9" t="inlineStr">
        <is>
          <t>-</t>
        </is>
      </c>
      <c r="M7" s="9" t="inlineStr">
        <is>
          <t>Screenshot</t>
        </is>
      </c>
      <c r="N7" s="9" t="inlineStr">
        <is>
          <t>Não iniciado</t>
        </is>
      </c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IA &amp; Custos</t>
        </is>
      </c>
    </row>
    <row r="2">
      <c r="A2" s="2" t="inlineStr">
        <is>
          <t>Custo por provedor/funcionalidade, latência, fallback e orçamento — dado real (Cloudflare Workers AI).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IAC-001</t>
        </is>
      </c>
      <c r="C5" s="9" t="inlineStr">
        <is>
          <t>IA &amp; Custos</t>
        </is>
      </c>
      <c r="D5" s="9" t="inlineStr">
        <is>
          <t>Custo no período (dado real)</t>
        </is>
      </c>
      <c r="E5" s="9" t="inlineStr">
        <is>
          <t>Dados</t>
        </is>
      </c>
      <c r="F5" s="9" t="inlineStr">
        <is>
          <t>P0</t>
        </is>
      </c>
      <c r="G5" s="9" t="inlineStr">
        <is>
          <t>Logado</t>
        </is>
      </c>
      <c r="H5" s="9" t="inlineStr">
        <is>
          <t>1. Abrir #/ai-cost
2. Ler 'CUSTO NO PERÍODO'</t>
        </is>
      </c>
      <c r="I5" s="9" t="inlineStr">
        <is>
          <t>Valor em R$ real vindo de AI_USAGE (D1), não mock — confirmar contra `ai_usage` no D1 se necessário.</t>
        </is>
      </c>
      <c r="J5" s="9" t="inlineStr">
        <is>
          <t>AiCostTab.tsx; fonte CLOUDFLARE WORKERS AI (AI_USAGE)</t>
        </is>
      </c>
      <c r="K5" s="9" t="inlineStr">
        <is>
          <t>/#/ai-cost</t>
        </is>
      </c>
      <c r="L5" s="9" t="inlineStr">
        <is>
          <t>-</t>
        </is>
      </c>
      <c r="M5" s="9" t="inlineStr">
        <is>
          <t>Screenshot + innerText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IAC-002</t>
        </is>
      </c>
      <c r="C6" s="9" t="inlineStr">
        <is>
          <t>IA &amp; Custos</t>
        </is>
      </c>
      <c r="D6" s="9" t="inlineStr">
        <is>
          <t>Taxa de fallback com veredito</t>
        </is>
      </c>
      <c r="E6" s="9" t="inlineStr">
        <is>
          <t>Dados</t>
        </is>
      </c>
      <c r="F6" s="9" t="inlineStr">
        <is>
          <t>P0</t>
        </is>
      </c>
      <c r="G6" s="9" t="inlineStr">
        <is>
          <t>Logado</t>
        </is>
      </c>
      <c r="H6" s="9" t="inlineStr">
        <is>
          <t>1. Ler card 'TAXA DE FALLBACK'</t>
        </is>
      </c>
      <c r="I6" s="9" t="inlineStr">
        <is>
          <t>Percentual + veredito (ex.: 'Regular') + explicação 'chamadas fora do provider primário (Gemini)' — confirma Gemini como primário conforme CLAUDE.md.</t>
        </is>
      </c>
      <c r="J6" s="9" t="inlineStr">
        <is>
          <t>AiCostTab.tsx; CLAUDE.md seção IA (Gemini 2.0 Flash primário)</t>
        </is>
      </c>
      <c r="K6" s="9" t="inlineStr">
        <is>
          <t>/#/ai-cost</t>
        </is>
      </c>
      <c r="L6" s="9" t="inlineStr">
        <is>
          <t>-</t>
        </is>
      </c>
      <c r="M6" s="9" t="inlineStr">
        <is>
          <t>Screenshot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IAC-003</t>
        </is>
      </c>
      <c r="C7" s="9" t="inlineStr">
        <is>
          <t>IA &amp; Custos</t>
        </is>
      </c>
      <c r="D7" s="9" t="inlineStr">
        <is>
          <t>Taxa de falha — proxy declarado</t>
        </is>
      </c>
      <c r="E7" s="9" t="inlineStr">
        <is>
          <t>Transparência</t>
        </is>
      </c>
      <c r="F7" s="9" t="inlineStr">
        <is>
          <t>P1</t>
        </is>
      </c>
      <c r="G7" s="9" t="inlineStr">
        <is>
          <t>Logado</t>
        </is>
      </c>
      <c r="H7" s="9" t="inlineStr">
        <is>
          <t>1. Ler card 'TAXA DE FALHA' e a nota 'proxy: completion_tokens = 0'</t>
        </is>
      </c>
      <c r="I7" s="9" t="inlineStr">
        <is>
          <t>Quando a métrica é um proxy (não medição direta), isso é declarado explicitamente no card — não-negociável do North Star.</t>
        </is>
      </c>
      <c r="J7" s="9" t="inlineStr">
        <is>
          <t>AiCostTab.tsx</t>
        </is>
      </c>
      <c r="K7" s="9" t="inlineStr">
        <is>
          <t>/#/ai-cost</t>
        </is>
      </c>
      <c r="L7" s="9" t="inlineStr">
        <is>
          <t>-</t>
        </is>
      </c>
      <c r="M7" s="9" t="inlineStr">
        <is>
          <t>Screenshot</t>
        </is>
      </c>
      <c r="N7" s="9" t="inlineStr">
        <is>
          <t>Não iniciado</t>
        </is>
      </c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Problemas &amp; Incidentes</t>
        </is>
      </c>
    </row>
    <row r="2">
      <c r="A2" s="2" t="inlineStr">
        <is>
          <t>Crashes, ANRs e erros — Firebase Crashlytics (hoje indisponível/mock).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ERR-001</t>
        </is>
      </c>
      <c r="C5" s="9" t="inlineStr">
        <is>
          <t>Problemas &amp; Incidentes</t>
        </is>
      </c>
      <c r="D5" s="9" t="inlineStr">
        <is>
          <t>Crash-free users — indisponível é esperado</t>
        </is>
      </c>
      <c r="E5" s="9" t="inlineStr">
        <is>
          <t>Dados</t>
        </is>
      </c>
      <c r="F5" s="9" t="inlineStr">
        <is>
          <t>P0</t>
        </is>
      </c>
      <c r="G5" s="9" t="inlineStr">
        <is>
          <t>Logado</t>
        </is>
      </c>
      <c r="H5" s="9" t="inlineStr">
        <is>
          <t>1. Abrir #/errors
2. Ler 'CRASH-FREE USERS'</t>
        </is>
      </c>
      <c r="I5" s="9" t="inlineStr">
        <is>
          <t>Mostra 'Não disponível' com motivo explícito ('Crashlytics indisponível', 'não implementado') — NÃO reportar como bug, é gap conhecido (billing Firebase não habilitado).</t>
        </is>
      </c>
      <c r="J5" s="9" t="inlineStr">
        <is>
          <t>ErrorsTab.tsx; CLAUDE.md 'Analytics: Firebase Crashlytics'</t>
        </is>
      </c>
      <c r="K5" s="9" t="inlineStr">
        <is>
          <t>/#/errors</t>
        </is>
      </c>
      <c r="L5" s="9" t="inlineStr">
        <is>
          <t>-</t>
        </is>
      </c>
      <c r="M5" s="9" t="inlineStr">
        <is>
          <t>Screenshot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ERR-002</t>
        </is>
      </c>
      <c r="C6" s="9" t="inlineStr">
        <is>
          <t>Problemas &amp; Incidentes</t>
        </is>
      </c>
      <c r="D6" s="9" t="inlineStr">
        <is>
          <t>Taxa de ANR</t>
        </is>
      </c>
      <c r="E6" s="9" t="inlineStr">
        <is>
          <t>Dados</t>
        </is>
      </c>
      <c r="F6" s="9" t="inlineStr">
        <is>
          <t>P2</t>
        </is>
      </c>
      <c r="G6" s="9" t="inlineStr">
        <is>
          <t>Logado</t>
        </is>
      </c>
      <c r="H6" s="9" t="inlineStr">
        <is>
          <t>1. Ler card 'TAXA DE ANR'</t>
        </is>
      </c>
      <c r="I6" s="9" t="inlineStr">
        <is>
          <t>Mesma regra: 'Não disponível' com fonte declarada (Google Play Console) é esperado, não bug.</t>
        </is>
      </c>
      <c r="J6" s="9" t="inlineStr">
        <is>
          <t>ErrorsTab.tsx</t>
        </is>
      </c>
      <c r="K6" s="9" t="inlineStr">
        <is>
          <t>/#/errors</t>
        </is>
      </c>
      <c r="L6" s="9" t="inlineStr">
        <is>
          <t>-</t>
        </is>
      </c>
      <c r="M6" s="9" t="inlineStr">
        <is>
          <t>Screenshot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ERR-003</t>
        </is>
      </c>
      <c r="C7" s="9" t="inlineStr">
        <is>
          <t>Problemas &amp; Incidentes</t>
        </is>
      </c>
      <c r="D7" s="9" t="inlineStr">
        <is>
          <t>Priorização por impacto, não volume bruto</t>
        </is>
      </c>
      <c r="E7" s="9" t="inlineStr">
        <is>
          <t>Produto</t>
        </is>
      </c>
      <c r="F7" s="9" t="inlineStr">
        <is>
          <t>P1</t>
        </is>
      </c>
      <c r="G7" s="9" t="inlineStr">
        <is>
          <t>Há erros cadastrados (system_errors no D1)</t>
        </is>
      </c>
      <c r="H7" s="9" t="inlineStr">
        <is>
          <t>1. Conferir ordenação da lista de erros, se houver dado real além dos KPIs indisponíveis</t>
        </is>
      </c>
      <c r="I7" s="9" t="inlineStr">
        <is>
          <t>Copy do cabeçalho promete 'priorizados por impacto em usuários, não por volume bruto' — validar se a lista (quando existir dado) realmente ordena assim.</t>
        </is>
      </c>
      <c r="J7" s="9" t="inlineStr">
        <is>
          <t>ErrorsTab.tsx</t>
        </is>
      </c>
      <c r="K7" s="9" t="inlineStr">
        <is>
          <t>/#/errors</t>
        </is>
      </c>
      <c r="L7" s="9" t="inlineStr">
        <is>
          <t>-</t>
        </is>
      </c>
      <c r="M7" s="9" t="inlineStr">
        <is>
          <t>Screenshot</t>
        </is>
      </c>
      <c r="N7" s="9" t="inlineStr">
        <is>
          <t>Não iniciado</t>
        </is>
      </c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Releases &amp; Qualidade (App Versions)</t>
        </is>
      </c>
    </row>
    <row r="2">
      <c r="A2" s="2" t="inlineStr">
        <is>
          <t>Adoção de versão, rollout e qualidade por release — modelo Play Console Vitals.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REL-001</t>
        </is>
      </c>
      <c r="C5" s="9" t="inlineStr">
        <is>
          <t>Releases &amp; Qualidade</t>
        </is>
      </c>
      <c r="D5" s="9" t="inlineStr">
        <is>
          <t>Versão estável mostra valor real do app</t>
        </is>
      </c>
      <c r="E5" s="9" t="inlineStr">
        <is>
          <t>Dados</t>
        </is>
      </c>
      <c r="F5" s="9" t="inlineStr">
        <is>
          <t>P0</t>
        </is>
      </c>
      <c r="G5" s="9" t="inlineStr">
        <is>
          <t>Logado</t>
        </is>
      </c>
      <c r="H5" s="9" t="inlineStr">
        <is>
          <t>1. Abrir #/app-versions
2. Ler 'VERSÃO ESTÁVEL'</t>
        </is>
      </c>
      <c r="I5" s="9" t="inlineStr">
        <is>
          <t>Deve refletir a versão real do libs.versions.toml (0.25.0 no momento desta auditoria) — se divergir, é bug de sincronização de dado.</t>
        </is>
      </c>
      <c r="J5" s="9" t="inlineStr">
        <is>
          <t>VersionsTab.tsx; android/gradle/libs.versions.toml</t>
        </is>
      </c>
      <c r="K5" s="9" t="inlineStr">
        <is>
          <t>/#/app-versions</t>
        </is>
      </c>
      <c r="L5" s="9" t="inlineStr">
        <is>
          <t>-</t>
        </is>
      </c>
      <c r="M5" s="9" t="inlineStr">
        <is>
          <t>Screenshot + conferir contra libs.versions.toml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REL-002</t>
        </is>
      </c>
      <c r="C6" s="9" t="inlineStr">
        <is>
          <t>Releases &amp; Qualidade</t>
        </is>
      </c>
      <c r="D6" s="9" t="inlineStr">
        <is>
          <t>Base instalada indisponível é esperado</t>
        </is>
      </c>
      <c r="E6" s="9" t="inlineStr">
        <is>
          <t>Dados</t>
        </is>
      </c>
      <c r="F6" s="9" t="inlineStr">
        <is>
          <t>P2</t>
        </is>
      </c>
      <c r="G6" s="9" t="inlineStr">
        <is>
          <t>Logado</t>
        </is>
      </c>
      <c r="H6" s="9" t="inlineStr">
        <is>
          <t>1. Ler nota abaixo de 'VERSÃO ESTÁVEL'</t>
        </is>
      </c>
      <c r="I6" s="9" t="inlineStr">
        <is>
          <t>'Base instalada não disponível — não implementado' é gap conhecido (Play Console API não integrada), não bug.</t>
        </is>
      </c>
      <c r="J6" s="9" t="inlineStr">
        <is>
          <t>VersionsTab.tsx</t>
        </is>
      </c>
      <c r="K6" s="9" t="inlineStr">
        <is>
          <t>/#/app-versions</t>
        </is>
      </c>
      <c r="L6" s="9" t="inlineStr">
        <is>
          <t>-</t>
        </is>
      </c>
      <c r="M6" s="9" t="inlineStr">
        <is>
          <t>Screenshot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REL-003</t>
        </is>
      </c>
      <c r="C7" s="9" t="inlineStr">
        <is>
          <t>Releases &amp; Qualidade</t>
        </is>
      </c>
      <c r="D7" s="9" t="inlineStr">
        <is>
          <t>Rollout gradual indisponível é esperado</t>
        </is>
      </c>
      <c r="E7" s="9" t="inlineStr">
        <is>
          <t>Dados</t>
        </is>
      </c>
      <c r="F7" s="9" t="inlineStr">
        <is>
          <t>P2</t>
        </is>
      </c>
      <c r="G7" s="9" t="inlineStr">
        <is>
          <t>Logado</t>
        </is>
      </c>
      <c r="H7" s="9" t="inlineStr">
        <is>
          <t>1. Ler card 'EM ROLLOUT'</t>
        </is>
      </c>
      <c r="I7" s="9" t="inlineStr">
        <is>
          <t>'Não disponível — Android Publisher API não retorna tracks de rollout' é gap conhecido e declarado, não bug.</t>
        </is>
      </c>
      <c r="J7" s="9" t="inlineStr">
        <is>
          <t>VersionsTab.tsx</t>
        </is>
      </c>
      <c r="K7" s="9" t="inlineStr">
        <is>
          <t>/#/app-versions</t>
        </is>
      </c>
      <c r="L7" s="9" t="inlineStr">
        <is>
          <t>-</t>
        </is>
      </c>
      <c r="M7" s="9" t="inlineStr">
        <is>
          <t>Screenshot</t>
        </is>
      </c>
      <c r="N7" s="9" t="inlineStr">
        <is>
          <t>Não iniciado</t>
        </is>
      </c>
      <c r="O7" s="9" t="inlineStr"/>
      <c r="P7" s="9" t="inlineStr"/>
      <c r="Q7" s="9" t="inlineStr"/>
    </row>
    <row r="8">
      <c r="A8" s="9" t="n">
        <v>4</v>
      </c>
      <c r="B8" s="9" t="inlineStr">
        <is>
          <t>REL-004</t>
        </is>
      </c>
      <c r="C8" s="9" t="inlineStr">
        <is>
          <t>Releases &amp; Qualidade</t>
        </is>
      </c>
      <c r="D8" s="9" t="inlineStr">
        <is>
          <t>Sessões por versão via D1 (dado real)</t>
        </is>
      </c>
      <c r="E8" s="9" t="inlineStr">
        <is>
          <t>Dados</t>
        </is>
      </c>
      <c r="F8" s="9" t="inlineStr">
        <is>
          <t>P0</t>
        </is>
      </c>
      <c r="G8" s="9" t="inlineStr">
        <is>
          <t>Logado</t>
        </is>
      </c>
      <c r="H8" s="9" t="inlineStr">
        <is>
          <t>1. Aguardar carregamento de 'sessões por versão'
2. Conferir lista/gráfico</t>
        </is>
      </c>
      <c r="I8" s="9" t="inlineStr">
        <is>
          <t>Vem de D1 real (comentário no código 'Buscando sessões por versão no D1'), não mock — validar que os valores fazem sentido.</t>
        </is>
      </c>
      <c r="J8" s="9" t="inlineStr">
        <is>
          <t>VersionsTab.tsx</t>
        </is>
      </c>
      <c r="K8" s="9" t="inlineStr">
        <is>
          <t>/#/app-versions</t>
        </is>
      </c>
      <c r="L8" s="9" t="inlineStr">
        <is>
          <t>-</t>
        </is>
      </c>
      <c r="M8" s="9" t="inlineStr">
        <is>
          <t>Screenshot</t>
        </is>
      </c>
      <c r="N8" s="9" t="inlineStr">
        <is>
          <t>Não iniciado</t>
        </is>
      </c>
      <c r="O8" s="9" t="inlineStr"/>
      <c r="P8" s="9" t="inlineStr"/>
      <c r="Q8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Saúde do Sistema (System Health)</t>
        </is>
      </c>
    </row>
    <row r="2">
      <c r="A2" s="2" t="inlineStr">
        <is>
          <t>Uptime e latência do Worker, Firebase e pipeline de eventos.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SIS-001</t>
        </is>
      </c>
      <c r="C5" s="9" t="inlineStr">
        <is>
          <t>Saúde do Sistema</t>
        </is>
      </c>
      <c r="D5" s="9" t="inlineStr">
        <is>
          <t>Uptime do Worker aguardando primeiro snapshot</t>
        </is>
      </c>
      <c r="E5" s="9" t="inlineStr">
        <is>
          <t>Dados</t>
        </is>
      </c>
      <c r="F5" s="9" t="inlineStr">
        <is>
          <t>P1</t>
        </is>
      </c>
      <c r="G5" s="9" t="inlineStr">
        <is>
          <t>Logado</t>
        </is>
      </c>
      <c r="H5" s="9" t="inlineStr">
        <is>
          <t>1. Abrir #/system-health
2. Ler 'UPTIME DO WORKER (30D)'</t>
        </is>
      </c>
      <c r="I5" s="9" t="inlineStr">
        <is>
          <t>'Não disponível — Aguardando primeiro snapshot do Cron Trigger' é esperado logo após deploy do cron de 15min (wrangler.toml triggers); validar se já passou tempo suficiente para ter dado.</t>
        </is>
      </c>
      <c r="J5" s="9" t="inlineStr">
        <is>
          <t>SystemHealthTab.tsx; wrangler.toml crons '*/15 * * * *'</t>
        </is>
      </c>
      <c r="K5" s="9" t="inlineStr">
        <is>
          <t>/#/system-health</t>
        </is>
      </c>
      <c r="L5" s="9" t="inlineStr">
        <is>
          <t>-</t>
        </is>
      </c>
      <c r="M5" s="9" t="inlineStr">
        <is>
          <t>Screenshot + conferir tempo desde deploy do cron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SIS-002</t>
        </is>
      </c>
      <c r="C6" s="9" t="inlineStr">
        <is>
          <t>Saúde do Sistema</t>
        </is>
      </c>
      <c r="D6" s="9" t="inlineStr">
        <is>
          <t>Cloudflare Usage (GET /admin/cloudflare-usage)</t>
        </is>
      </c>
      <c r="E6" s="9" t="inlineStr">
        <is>
          <t>Dados</t>
        </is>
      </c>
      <c r="F6" s="9" t="inlineStr">
        <is>
          <t>P1</t>
        </is>
      </c>
      <c r="G6" s="9" t="inlineStr">
        <is>
          <t>CLOUDFLARE_API_TOKEN secret configurada ou não</t>
        </is>
      </c>
      <c r="H6" s="9" t="inlineStr">
        <is>
          <t>1. Localizar seção de uso Cloudflare
2. Conferir se mostra dado ou 'não disponível' com motivo</t>
        </is>
      </c>
      <c r="I6" s="9" t="inlineStr">
        <is>
          <t>Sem a secret CLOUDFLARE_API_TOKEN, deve responder 'não disponível' com o motivo explícito (getCloudflareUsage() em index.ts não fabrica número) — conferir qual dos dois estados está ativo em produção.</t>
        </is>
      </c>
      <c r="J6" s="9" t="inlineStr">
        <is>
          <t>index.ts getCloudflareUsage(); wrangler.toml comentário sobre #883</t>
        </is>
      </c>
      <c r="K6" s="9" t="inlineStr">
        <is>
          <t>/#/system-health</t>
        </is>
      </c>
      <c r="L6" s="9" t="inlineStr">
        <is>
          <t>-</t>
        </is>
      </c>
      <c r="M6" s="9" t="inlineStr">
        <is>
          <t>Screenshot</t>
        </is>
      </c>
      <c r="N6" s="9" t="inlineStr">
        <is>
          <t>Não iniciado</t>
        </is>
      </c>
      <c r="O6" s="9" t="inlineStr"/>
      <c r="P6" s="9" t="inlineStr"/>
      <c r="Q6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Configurações (Settings)</t>
        </is>
      </c>
    </row>
    <row r="2">
      <c r="A2" s="2" t="inlineStr">
        <is>
          <t>Fusão de /settings + /feature-flags (GH#552) — feature flags e acesso da equipe.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CFG-001</t>
        </is>
      </c>
      <c r="C5" s="9" t="inlineStr">
        <is>
          <t>Configurações</t>
        </is>
      </c>
      <c r="D5" s="9" t="inlineStr">
        <is>
          <t>Slug legado /feature-flags funciona</t>
        </is>
      </c>
      <c r="E5" s="9" t="inlineStr">
        <is>
          <t>Navegação</t>
        </is>
      </c>
      <c r="F5" s="9" t="inlineStr">
        <is>
          <t>P1</t>
        </is>
      </c>
      <c r="G5" s="9" t="inlineStr">
        <is>
          <t>Logado</t>
        </is>
      </c>
      <c r="H5" s="9" t="inlineStr">
        <is>
          <t>1. Navegar direto para #/feature-flags
2. Conferir renderização</t>
        </is>
      </c>
      <c r="I5" s="9" t="inlineStr">
        <is>
          <t>Renderiza o mesmo SettingsTab que #/settings (fusão GH#552).</t>
        </is>
      </c>
      <c r="J5" s="9" t="inlineStr">
        <is>
          <t>App.tsx linha 271</t>
        </is>
      </c>
      <c r="K5" s="9" t="inlineStr">
        <is>
          <t>/#/feature-flags</t>
        </is>
      </c>
      <c r="L5" s="9" t="inlineStr">
        <is>
          <t>-</t>
        </is>
      </c>
      <c r="M5" s="9" t="inlineStr">
        <is>
          <t>Screenshot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CFG-002</t>
        </is>
      </c>
      <c r="C6" s="9" t="inlineStr">
        <is>
          <t>Configurações</t>
        </is>
      </c>
      <c r="D6" s="9" t="inlineStr">
        <is>
          <t>Feature flags — toggle</t>
        </is>
      </c>
      <c r="E6" s="9" t="inlineStr">
        <is>
          <t>Funcional</t>
        </is>
      </c>
      <c r="F6" s="9" t="inlineStr">
        <is>
          <t>P0</t>
        </is>
      </c>
      <c r="G6" s="9" t="inlineStr">
        <is>
          <t>Logado, papel admin</t>
        </is>
      </c>
      <c r="H6" s="9" t="inlineStr">
        <is>
          <t>1. Localizar flag 'feature_diagnostico_ia'
2. Alternar toggle
3. Recarregar página</t>
        </is>
      </c>
      <c r="I6" s="9" t="inlineStr">
        <is>
          <t>Toggle persiste (via featureFlagsService); estado sobrevive a reload.</t>
        </is>
      </c>
      <c r="J6" s="9" t="inlineStr">
        <is>
          <t>SettingsTab.tsx; featureFlagsService.ts</t>
        </is>
      </c>
      <c r="K6" s="9" t="inlineStr">
        <is>
          <t>/#/settings</t>
        </is>
      </c>
      <c r="L6" s="9" t="inlineStr">
        <is>
          <t>text=FEATURE FLAGS</t>
        </is>
      </c>
      <c r="M6" s="9" t="inlineStr">
        <is>
          <t>Screenshot antes/depois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CFG-003</t>
        </is>
      </c>
      <c r="C7" s="9" t="inlineStr">
        <is>
          <t>Configurações</t>
        </is>
      </c>
      <c r="D7" s="9" t="inlineStr">
        <is>
          <t>Acesso da equipe — dado real vs mock (GAP CONHECIDO)</t>
        </is>
      </c>
      <c r="E7" s="9" t="inlineStr">
        <is>
          <t>Dados</t>
        </is>
      </c>
      <c r="F7" s="9" t="inlineStr">
        <is>
          <t>P1</t>
        </is>
      </c>
      <c r="G7" s="9" t="inlineStr">
        <is>
          <t>Conta de QA já criada em admin_users via D1</t>
        </is>
      </c>
      <c r="H7" s="9" t="inlineStr">
        <is>
          <t>1. Abrir 'ACESSO DA EQUIPE'
2. Conferir se qa.playwright@signallq.internal aparece na lista</t>
        </is>
      </c>
      <c r="I7" s="9" t="inlineStr">
        <is>
          <t>SUSPEITA CONFIRMAR: lista mostra apenas CS/CR/LP/RA hardcoded (Claudete/Camilo/Lia/Rhodolfo) — se a conta de QA real criada nesta sessão NÃO aparecer, a seção não lê de admin_users real, é mock estático. Reportar como achado, não presumir bug sem confirmar contra o código de SettingsTab.tsx.</t>
        </is>
      </c>
      <c r="J7" s="9" t="inlineStr">
        <is>
          <t>SettingsTab.tsx — conferir se consulta GET /admin/auth/users ou algum endpoint real</t>
        </is>
      </c>
      <c r="K7" s="9" t="inlineStr">
        <is>
          <t>/#/settings</t>
        </is>
      </c>
      <c r="L7" s="9" t="inlineStr">
        <is>
          <t>text=Acesso da equipe</t>
        </is>
      </c>
      <c r="M7" s="9" t="inlineStr">
        <is>
          <t>Screenshot + comparar com SELECT * FROM admin_users</t>
        </is>
      </c>
      <c r="N7" s="9" t="inlineStr">
        <is>
          <t>Não iniciado</t>
        </is>
      </c>
      <c r="O7" s="9" t="inlineStr"/>
      <c r="P7" s="9" t="inlineStr"/>
      <c r="Q7" s="9" t="inlineStr"/>
    </row>
    <row r="8">
      <c r="A8" s="9" t="n">
        <v>4</v>
      </c>
      <c r="B8" s="9" t="inlineStr">
        <is>
          <t>CFG-004</t>
        </is>
      </c>
      <c r="C8" s="9" t="inlineStr">
        <is>
          <t>Configurações</t>
        </is>
      </c>
      <c r="D8" s="9" t="inlineStr">
        <is>
          <t>Exportar CSV/PDF — 'Em breve'</t>
        </is>
      </c>
      <c r="E8" s="9" t="inlineStr">
        <is>
          <t>Funcional</t>
        </is>
      </c>
      <c r="F8" s="9" t="inlineStr">
        <is>
          <t>P2</t>
        </is>
      </c>
      <c r="G8" s="9" t="inlineStr">
        <is>
          <t>Logado</t>
        </is>
      </c>
      <c r="H8" s="9" t="inlineStr">
        <is>
          <t>1. Localizar botão 'Exportar CSV / PDF do painel'</t>
        </is>
      </c>
      <c r="I8" s="9" t="inlineStr">
        <is>
          <t>Rotulado 'EM BREVE' — botão deve estar desabilitado ou deixar claro que não executa ação real ainda (não confundir com handleExport mockado do App.tsx, que gera um CSV vazio de telemetria — conferir se são a mesma feature ou duas diferentes).</t>
        </is>
      </c>
      <c r="J8" s="9" t="inlineStr">
        <is>
          <t>App.tsx handleExport (mock: cabeçalho CSV vazio); SettingsTab.tsx botão 'Em breve'</t>
        </is>
      </c>
      <c r="K8" s="9" t="inlineStr">
        <is>
          <t>/#/settings</t>
        </is>
      </c>
      <c r="L8" s="9" t="inlineStr">
        <is>
          <t>text=Exportar CSV</t>
        </is>
      </c>
      <c r="M8" s="9" t="inlineStr">
        <is>
          <t>Screenshot + conferir se baixa arquivo real ou fica inerte</t>
        </is>
      </c>
      <c r="N8" s="9" t="inlineStr">
        <is>
          <t>Não iniciado</t>
        </is>
      </c>
      <c r="O8" s="9" t="inlineStr"/>
      <c r="P8" s="9" t="inlineStr"/>
      <c r="Q8" s="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Ferramentas (Tools)</t>
        </is>
      </c>
    </row>
    <row r="2">
      <c r="A2" s="2" t="inlineStr">
        <is>
          <t>Drill-down avançado, resolução manual e configuração de integrações — dado real por trás.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FER-001</t>
        </is>
      </c>
      <c r="C5" s="9" t="inlineStr">
        <is>
          <t>Ferramentas</t>
        </is>
      </c>
      <c r="D5" s="9" t="inlineStr">
        <is>
          <t>Diagnósticos — sessões individuais com filtros avançados</t>
        </is>
      </c>
      <c r="E5" s="9" t="inlineStr">
        <is>
          <t>Funcional</t>
        </is>
      </c>
      <c r="F5" s="9" t="inlineStr">
        <is>
          <t>P0</t>
        </is>
      </c>
      <c r="G5" s="9" t="inlineStr">
        <is>
          <t>Logado, há sessões de diagnóstico no D1</t>
        </is>
      </c>
      <c r="H5" s="9" t="inlineStr">
        <is>
          <t>1. Abrir #/tools
2. Aplicar filtro por rede/operadora/score/problema/versão/canal</t>
        </is>
      </c>
      <c r="I5" s="9" t="inlineStr">
        <is>
          <t>Lista filtra corretamente por múltiplos critérios combinados; resultado bate com os filtros aplicados.</t>
        </is>
      </c>
      <c r="J5" s="9" t="inlineStr">
        <is>
          <t>ToolsTab.tsx</t>
        </is>
      </c>
      <c r="K5" s="9" t="inlineStr">
        <is>
          <t>/#/tools</t>
        </is>
      </c>
      <c r="L5" s="9" t="inlineStr">
        <is>
          <t>-</t>
        </is>
      </c>
      <c r="M5" s="9" t="inlineStr">
        <is>
          <t>Screenshot antes/depois do filtro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FER-002</t>
        </is>
      </c>
      <c r="C6" s="9" t="inlineStr">
        <is>
          <t>Ferramentas</t>
        </is>
      </c>
      <c r="D6" s="9" t="inlineStr">
        <is>
          <t>Drill-down de uma sessão individual</t>
        </is>
      </c>
      <c r="E6" s="9" t="inlineStr">
        <is>
          <t>Funcional</t>
        </is>
      </c>
      <c r="F6" s="9" t="inlineStr">
        <is>
          <t>P1</t>
        </is>
      </c>
      <c r="G6" s="9" t="inlineStr">
        <is>
          <t>Há ao menos 1 sessão na lista</t>
        </is>
      </c>
      <c r="H6" s="9" t="inlineStr">
        <is>
          <t>1. Clicar em uma sessão da lista
2. Conferir detalhe</t>
        </is>
      </c>
      <c r="I6" s="9" t="inlineStr">
        <is>
          <t>Abre detalhe com dado real da sessão (não placeholder).</t>
        </is>
      </c>
      <c r="J6" s="9" t="inlineStr">
        <is>
          <t>ToolsTab.tsx</t>
        </is>
      </c>
      <c r="K6" s="9" t="inlineStr">
        <is>
          <t>/#/tools</t>
        </is>
      </c>
      <c r="L6" s="9" t="inlineStr">
        <is>
          <t>-</t>
        </is>
      </c>
      <c r="M6" s="9" t="inlineStr">
        <is>
          <t>Screenshot do detalhe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FER-003</t>
        </is>
      </c>
      <c r="C7" s="9" t="inlineStr">
        <is>
          <t>Ferramentas</t>
        </is>
      </c>
      <c r="D7" s="9" t="inlineStr">
        <is>
          <t>Resolução manual de erro</t>
        </is>
      </c>
      <c r="E7" s="9" t="inlineStr">
        <is>
          <t>Funcional</t>
        </is>
      </c>
      <c r="F7" s="9" t="inlineStr">
        <is>
          <t>P1</t>
        </is>
      </c>
      <c r="G7" s="9" t="inlineStr">
        <is>
          <t>Há erro não resolvido (system_errors.resolved=0)</t>
        </is>
      </c>
      <c r="H7" s="9" t="inlineStr">
        <is>
          <t>1. Localizar ação de resolução manual
2. Marcar como resolvido com nota</t>
        </is>
      </c>
      <c r="I7" s="9" t="inlineStr">
        <is>
          <t>Grava resolved_by/resolved_at/resolution_note no D1 (schema.sql linhas 100-102).</t>
        </is>
      </c>
      <c r="J7" s="9" t="inlineStr">
        <is>
          <t>ToolsTab.tsx; schema.sql ALTER TABLE system_errors</t>
        </is>
      </c>
      <c r="K7" s="9" t="inlineStr">
        <is>
          <t>/#/tools</t>
        </is>
      </c>
      <c r="L7" s="9" t="inlineStr">
        <is>
          <t>-</t>
        </is>
      </c>
      <c r="M7" s="9" t="inlineStr">
        <is>
          <t>Screenshot + conferir via D1 query</t>
        </is>
      </c>
      <c r="N7" s="9" t="inlineStr">
        <is>
          <t>Não iniciado</t>
        </is>
      </c>
      <c r="O7" s="9" t="inlineStr"/>
      <c r="P7" s="9" t="inlineStr"/>
      <c r="Q7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4" customWidth="1" min="4" max="4"/>
    <col width="12" customWidth="1" min="5" max="5"/>
    <col width="10" customWidth="1" min="6" max="6"/>
    <col width="26" customWidth="1" min="7" max="7"/>
    <col width="34" customWidth="1" min="8" max="8"/>
    <col width="40" customWidth="1" min="9" max="9"/>
    <col width="30" customWidth="1" min="10" max="10"/>
    <col width="20" customWidth="1" min="11" max="11"/>
    <col width="26" customWidth="1" min="12" max="12"/>
    <col width="22" customWidth="1" min="13" max="13"/>
    <col width="14" customWidth="1" min="14" max="14"/>
    <col width="12" customWidth="1" min="15" max="15"/>
    <col width="26" customWidth="1" min="16" max="16"/>
    <col width="24" customWidth="1" min="17" max="17"/>
  </cols>
  <sheetData>
    <row r="1">
      <c r="A1" s="1" t="inlineStr">
        <is>
          <t>Jornadas completas e regressão cruzada</t>
        </is>
      </c>
    </row>
    <row r="2">
      <c r="A2" s="2" t="inlineStr">
        <is>
          <t>Fluxos ponta a ponta cruzando login, filtros globais e múltiplas telas.</t>
        </is>
      </c>
    </row>
    <row r="4">
      <c r="A4" s="8" t="inlineStr">
        <is>
          <t>Ordem</t>
        </is>
      </c>
      <c r="B4" s="8" t="inlineStr">
        <is>
          <t>ID</t>
        </is>
      </c>
      <c r="C4" s="8" t="inlineStr">
        <is>
          <t>Tela / componente</t>
        </is>
      </c>
      <c r="D4" s="8" t="inlineStr">
        <is>
          <t>Estado / cenário</t>
        </is>
      </c>
      <c r="E4" s="8" t="inlineStr">
        <is>
          <t>Categoria</t>
        </is>
      </c>
      <c r="F4" s="8" t="inlineStr">
        <is>
          <t>Prioridade</t>
        </is>
      </c>
      <c r="G4" s="8" t="inlineStr">
        <is>
          <t>Pré-condições</t>
        </is>
      </c>
      <c r="H4" s="8" t="inlineStr">
        <is>
          <t>Passo a passo</t>
        </is>
      </c>
      <c r="I4" s="8" t="inlineStr">
        <is>
          <t>Resultado esperado</t>
        </is>
      </c>
      <c r="J4" s="8" t="inlineStr">
        <is>
          <t>Referência design / código</t>
        </is>
      </c>
      <c r="K4" s="8" t="inlineStr">
        <is>
          <t>URL / hash</t>
        </is>
      </c>
      <c r="L4" s="8" t="inlineStr">
        <is>
          <t>Seletor Playwright</t>
        </is>
      </c>
      <c r="M4" s="8" t="inlineStr">
        <is>
          <t>Evidência esperada</t>
        </is>
      </c>
      <c r="N4" s="8" t="inlineStr">
        <is>
          <t>Status</t>
        </is>
      </c>
      <c r="O4" s="8" t="inlineStr">
        <is>
          <t>Bug GitHub</t>
        </is>
      </c>
      <c r="P4" s="8" t="inlineStr">
        <is>
          <t>Observações</t>
        </is>
      </c>
      <c r="Q4" s="8" t="inlineStr">
        <is>
          <t>Bloqueador / dependência</t>
        </is>
      </c>
    </row>
    <row r="5">
      <c r="A5" s="9" t="n">
        <v>1</v>
      </c>
      <c r="B5" s="9" t="inlineStr">
        <is>
          <t>E2E-001</t>
        </is>
      </c>
      <c r="C5" s="9" t="inlineStr">
        <is>
          <t>Login → Overview → Logout</t>
        </is>
      </c>
      <c r="D5" s="9" t="inlineStr">
        <is>
          <t>Fluxo completo de sessão</t>
        </is>
      </c>
      <c r="E5" s="9" t="inlineStr">
        <is>
          <t>E2E</t>
        </is>
      </c>
      <c r="F5" s="9" t="inlineStr">
        <is>
          <t>P0</t>
        </is>
      </c>
      <c r="G5" s="9" t="inlineStr">
        <is>
          <t>Sessão deslogada</t>
        </is>
      </c>
      <c r="H5" s="9" t="inlineStr">
        <is>
          <t>1. Login com conta QA
2. Confirmar Overview carrega
3. Navegar por 3 telas quaisquer
4. Logout
5. Confirmar retorno à tela de login</t>
        </is>
      </c>
      <c r="I5" s="9" t="inlineStr">
        <is>
          <t>Cada etapa funciona sem erro de console novo; sessão realmente encerra (GET /admin/auth/me pós-logout retorna 401).</t>
        </is>
      </c>
      <c r="J5" s="9" t="inlineStr">
        <is>
          <t>auth.ts + App.tsx completo</t>
        </is>
      </c>
      <c r="K5" s="9" t="inlineStr">
        <is>
          <t>/ → /#/overview → ... → /</t>
        </is>
      </c>
      <c r="L5" s="9" t="inlineStr">
        <is>
          <t>-</t>
        </is>
      </c>
      <c r="M5" s="9" t="inlineStr">
        <is>
          <t>Screenshot de cada etapa + network de auth/me pós-logout</t>
        </is>
      </c>
      <c r="N5" s="9" t="inlineStr">
        <is>
          <t>Não iniciado</t>
        </is>
      </c>
      <c r="O5" s="9" t="inlineStr"/>
      <c r="P5" s="9" t="inlineStr"/>
      <c r="Q5" s="9" t="inlineStr"/>
    </row>
    <row r="6">
      <c r="A6" s="9" t="n">
        <v>2</v>
      </c>
      <c r="B6" s="9" t="inlineStr">
        <is>
          <t>E2E-002</t>
        </is>
      </c>
      <c r="C6" s="9" t="inlineStr">
        <is>
          <t>Filtro global sobrevive à navegação</t>
        </is>
      </c>
      <c r="D6" s="9" t="inlineStr">
        <is>
          <t>Persistência de filtro</t>
        </is>
      </c>
      <c r="E6" s="9" t="inlineStr">
        <is>
          <t>E2E</t>
        </is>
      </c>
      <c r="F6" s="9" t="inlineStr">
        <is>
          <t>P1</t>
        </is>
      </c>
      <c r="G6" s="9" t="inlineStr">
        <is>
          <t>Logado</t>
        </is>
      </c>
      <c r="H6" s="9" t="inlineStr">
        <is>
          <t>1. Em Overview, mudar para STG + 30 dias
2. Navegar para Diagnósticos
3. Navegar para IA &amp; Custos</t>
        </is>
      </c>
      <c r="I6" s="9" t="inlineStr">
        <is>
          <t>Ambiente e período permanecem STG/30d em todas as telas visitadas (sessionStorage compartilhado).</t>
        </is>
      </c>
      <c r="J6" s="9" t="inlineStr">
        <is>
          <t>App.tsx sessionStorage 'signallq_env_filter'/'signallq_period_filter'</t>
        </is>
      </c>
      <c r="K6" s="9" t="inlineStr">
        <is>
          <t>/#/overview → /#/diagnostics → /#/ai-cost</t>
        </is>
      </c>
      <c r="L6" s="9" t="inlineStr">
        <is>
          <t>-</t>
        </is>
      </c>
      <c r="M6" s="9" t="inlineStr">
        <is>
          <t>Screenshot do filtro em cada tela</t>
        </is>
      </c>
      <c r="N6" s="9" t="inlineStr">
        <is>
          <t>Não iniciado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E2E-003</t>
        </is>
      </c>
      <c r="C7" s="9" t="inlineStr">
        <is>
          <t>ErrorBoundary isola crash por aba</t>
        </is>
      </c>
      <c r="D7" s="9" t="inlineStr">
        <is>
          <t>Resiliência</t>
        </is>
      </c>
      <c r="E7" s="9" t="inlineStr">
        <is>
          <t>E2E</t>
        </is>
      </c>
      <c r="F7" s="9" t="inlineStr">
        <is>
          <t>P1</t>
        </is>
      </c>
      <c r="G7" s="9" t="inlineStr">
        <is>
          <t>Logado</t>
        </is>
      </c>
      <c r="H7" s="9" t="inlineStr">
        <is>
          <t>1. Se possível, forçar erro numa tela (ex.: filtro extremo)
2. Navegar para outra tela</t>
        </is>
      </c>
      <c r="I7" s="9" t="inlineStr">
        <is>
          <t>ErrorBoundary com key={currentPath} reseta ao trocar de aba — um crash numa tela não deve persistir/vazar para as outras.</t>
        </is>
      </c>
      <c r="J7" s="9" t="inlineStr">
        <is>
          <t>App.tsx ErrorBoundary key={currentPath}</t>
        </is>
      </c>
      <c r="K7" s="9" t="inlineStr">
        <is>
          <t>qualquer tela</t>
        </is>
      </c>
      <c r="L7" s="9" t="inlineStr">
        <is>
          <t>-</t>
        </is>
      </c>
      <c r="M7" s="9" t="inlineStr">
        <is>
          <t>Screenshot do erro + da tela seguinte limpa</t>
        </is>
      </c>
      <c r="N7" s="9" t="inlineStr">
        <is>
          <t>Não iniciado</t>
        </is>
      </c>
      <c r="O7" s="9" t="inlineStr"/>
      <c r="P7" s="9" t="inlineStr"/>
      <c r="Q7" s="9" t="inlineStr"/>
    </row>
    <row r="8">
      <c r="A8" s="9" t="n">
        <v>4</v>
      </c>
      <c r="B8" s="9" t="inlineStr">
        <is>
          <t>E2E-004</t>
        </is>
      </c>
      <c r="C8" s="9" t="inlineStr">
        <is>
          <t>URL de produção</t>
        </is>
      </c>
      <c r="D8" s="9" t="inlineStr">
        <is>
          <t>URL legada não deve ser confundida com produção</t>
        </is>
      </c>
      <c r="E8" s="9" t="inlineStr">
        <is>
          <t>Regressão</t>
        </is>
      </c>
      <c r="F8" s="9" t="inlineStr">
        <is>
          <t>P0</t>
        </is>
      </c>
      <c r="G8" s="9" t="inlineStr">
        <is>
          <t>-</t>
        </is>
      </c>
      <c r="H8" s="9" t="inlineStr">
        <is>
          <t>1. Acessar https://signallq.pages.dev/console/ diretamente
2. Comparar com https://signallq-admin-panel.pages.dev/</t>
        </is>
      </c>
      <c r="I8" s="9" t="inlineStr">
        <is>
          <t>A URL legada responde 200 mas serve build antigo/congelado (issue #1068) — teste real deve SEMPRE usar signallq-admin-panel.pages.dev. Este caso existe para não repetir o falso-negativo já ocorrido 2x na mesma semana (2026-07-17).</t>
        </is>
      </c>
      <c r="J8" s="9" t="inlineStr">
        <is>
          <t>issue #1068; README_ADMIN_ARCHITECTURE.md</t>
        </is>
      </c>
      <c r="K8" s="9" t="inlineStr">
        <is>
          <t>https://signallq.pages.dev/console/</t>
        </is>
      </c>
      <c r="L8" s="9" t="inlineStr">
        <is>
          <t>-</t>
        </is>
      </c>
      <c r="M8" s="9" t="inlineStr">
        <is>
          <t>Comparar hash de asset servido nas duas URLs</t>
        </is>
      </c>
      <c r="N8" s="9" t="inlineStr">
        <is>
          <t>Não iniciado</t>
        </is>
      </c>
      <c r="O8" s="9" t="inlineStr"/>
      <c r="P8" s="9" t="inlineStr"/>
      <c r="Q8" s="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6" customWidth="1" min="5" max="5"/>
    <col width="30" customWidth="1" min="6" max="6"/>
    <col width="24" customWidth="1" min="7" max="7"/>
    <col width="10" customWidth="1" min="8" max="8"/>
    <col width="14" customWidth="1" min="9" max="9"/>
    <col width="30" customWidth="1" min="10" max="10"/>
  </cols>
  <sheetData>
    <row r="1">
      <c r="A1" s="1" t="inlineStr">
        <is>
          <t>Checklist de Design System — SignallQ Admin (md3-tobe)</t>
        </is>
      </c>
    </row>
    <row r="2">
      <c r="A2" s="2" t="inlineStr">
        <is>
          <t>Fonte de verdade: SignallQ Admin/DESIGN.md (realinhado 2026-07-16 ao prototipo signallq-admin-md3-tobe). Validar por inspeção de CSS computado (getComputedStyle), não só visual.</t>
        </is>
      </c>
    </row>
    <row r="4">
      <c r="A4" s="6" t="inlineStr">
        <is>
          <t>ID</t>
        </is>
      </c>
      <c r="B4" s="6" t="inlineStr">
        <is>
          <t>Grupo</t>
        </is>
      </c>
      <c r="C4" s="6" t="inlineStr">
        <is>
          <t>Token / regra</t>
        </is>
      </c>
      <c r="D4" s="6" t="inlineStr">
        <is>
          <t>Claro esperado</t>
        </is>
      </c>
      <c r="E4" s="6" t="inlineStr">
        <is>
          <t>Escuro esperado</t>
        </is>
      </c>
      <c r="F4" s="6" t="inlineStr">
        <is>
          <t>Como validar</t>
        </is>
      </c>
      <c r="G4" s="6" t="inlineStr">
        <is>
          <t>Telas mínimas</t>
        </is>
      </c>
      <c r="H4" s="6" t="inlineStr">
        <is>
          <t>Prioridade</t>
        </is>
      </c>
      <c r="I4" s="6" t="inlineStr">
        <is>
          <t>Status</t>
        </is>
      </c>
      <c r="J4" s="6" t="inlineStr">
        <is>
          <t>Observações</t>
        </is>
      </c>
    </row>
    <row r="5">
      <c r="A5" s="9" t="inlineStr">
        <is>
          <t>DS-CLR-01</t>
        </is>
      </c>
      <c r="B5" s="9" t="inlineStr">
        <is>
          <t>Cores</t>
        </is>
      </c>
      <c r="C5" s="9" t="inlineStr">
        <is>
          <t>Primary (bg-base)</t>
        </is>
      </c>
      <c r="D5" s="9" t="inlineStr">
        <is>
          <t>#FEF7FF</t>
        </is>
      </c>
      <c r="E5" s="9" t="inlineStr">
        <is>
          <t>#141019</t>
        </is>
      </c>
      <c r="F5" s="9" t="inlineStr">
        <is>
          <t>getComputedStyle(html).getPropertyValue('--bg-base')</t>
        </is>
      </c>
      <c r="G5" s="9" t="inlineStr">
        <is>
          <t>Todas</t>
        </is>
      </c>
      <c r="H5" s="9" t="inlineStr">
        <is>
          <t>P0</t>
        </is>
      </c>
      <c r="I5" s="9" t="inlineStr">
        <is>
          <t>Não iniciado</t>
        </is>
      </c>
      <c r="J5" s="9" t="inlineStr"/>
    </row>
    <row r="6">
      <c r="A6" s="9" t="inlineStr">
        <is>
          <t>DS-CLR-02</t>
        </is>
      </c>
      <c r="B6" s="9" t="inlineStr">
        <is>
          <t>Cores</t>
        </is>
      </c>
      <c r="C6" s="9" t="inlineStr">
        <is>
          <t>Primary (accent)</t>
        </is>
      </c>
      <c r="D6" s="9" t="inlineStr">
        <is>
          <t>#6C2BFF</t>
        </is>
      </c>
      <c r="E6" s="9" t="inlineStr">
        <is>
          <t>#CFBCFF</t>
        </is>
      </c>
      <c r="F6" s="9" t="inlineStr">
        <is>
          <t>--primary — nunca reutilizar o mesmo hex nos dois temas (Per-Theme Semantic Rule)</t>
        </is>
      </c>
      <c r="G6" s="9" t="inlineStr">
        <is>
          <t>CTA, nav ativa, foco</t>
        </is>
      </c>
      <c r="H6" s="9" t="inlineStr">
        <is>
          <t>P0</t>
        </is>
      </c>
      <c r="I6" s="9" t="inlineStr">
        <is>
          <t>Não iniciado</t>
        </is>
      </c>
      <c r="J6" s="9" t="inlineStr"/>
    </row>
    <row r="7">
      <c r="A7" s="9" t="inlineStr">
        <is>
          <t>DS-CLR-03</t>
        </is>
      </c>
      <c r="B7" s="9" t="inlineStr">
        <is>
          <t>Cores</t>
        </is>
      </c>
      <c r="C7" s="9" t="inlineStr">
        <is>
          <t>On-primary</t>
        </is>
      </c>
      <c r="D7" s="9" t="inlineStr">
        <is>
          <t>#FFFFFF</t>
        </is>
      </c>
      <c r="E7" s="9" t="inlineStr">
        <is>
          <t>#38008C</t>
        </is>
      </c>
      <c r="F7" s="9" t="inlineStr">
        <is>
          <t>--on-primary — texto sobre botão primary</t>
        </is>
      </c>
      <c r="G7" s="9" t="inlineStr">
        <is>
          <t>Botão Entrar</t>
        </is>
      </c>
      <c r="H7" s="9" t="inlineStr">
        <is>
          <t>P0</t>
        </is>
      </c>
      <c r="I7" s="9" t="inlineStr">
        <is>
          <t>Não iniciado</t>
        </is>
      </c>
      <c r="J7" s="9" t="inlineStr"/>
    </row>
    <row r="8">
      <c r="A8" s="9" t="inlineStr">
        <is>
          <t>DS-CLR-04</t>
        </is>
      </c>
      <c r="B8" s="9" t="inlineStr">
        <is>
          <t>Cores</t>
        </is>
      </c>
      <c r="C8" s="9" t="inlineStr">
        <is>
          <t>Bg Surface</t>
        </is>
      </c>
      <c r="D8" s="9" t="inlineStr">
        <is>
          <t>#ECE6F0</t>
        </is>
      </c>
      <c r="E8" s="9" t="inlineStr">
        <is>
          <t>#2B2831</t>
        </is>
      </c>
      <c r="F8" s="9" t="inlineStr">
        <is>
          <t>--bg-surface — cards e superfícies de conteúdo</t>
        </is>
      </c>
      <c r="G8" s="9" t="inlineStr">
        <is>
          <t>Todas</t>
        </is>
      </c>
      <c r="H8" s="9" t="inlineStr">
        <is>
          <t>P0</t>
        </is>
      </c>
      <c r="I8" s="9" t="inlineStr">
        <is>
          <t>Não iniciado</t>
        </is>
      </c>
      <c r="J8" s="9" t="inlineStr"/>
    </row>
    <row r="9">
      <c r="A9" s="9" t="inlineStr">
        <is>
          <t>DS-CLR-05</t>
        </is>
      </c>
      <c r="B9" s="9" t="inlineStr">
        <is>
          <t>Cores</t>
        </is>
      </c>
      <c r="C9" s="9" t="inlineStr">
        <is>
          <t>Bg Sidebar</t>
        </is>
      </c>
      <c r="D9" s="9" t="inlineStr">
        <is>
          <t>#F7F2FA</t>
        </is>
      </c>
      <c r="E9" s="9" t="inlineStr">
        <is>
          <t>#1D1A22</t>
        </is>
      </c>
      <c r="F9" s="9" t="inlineStr">
        <is>
          <t>--bg-sidebar — nav drawer/rail/bottom</t>
        </is>
      </c>
      <c r="G9" s="9" t="inlineStr">
        <is>
          <t>Nav</t>
        </is>
      </c>
      <c r="H9" s="9" t="inlineStr">
        <is>
          <t>P0</t>
        </is>
      </c>
      <c r="I9" s="9" t="inlineStr">
        <is>
          <t>Não iniciado</t>
        </is>
      </c>
      <c r="J9" s="9" t="inlineStr"/>
    </row>
    <row r="10">
      <c r="A10" s="9" t="inlineStr">
        <is>
          <t>DS-CLR-06</t>
        </is>
      </c>
      <c r="B10" s="9" t="inlineStr">
        <is>
          <t>Cores</t>
        </is>
      </c>
      <c r="C10" s="9" t="inlineStr">
        <is>
          <t>Success</t>
        </is>
      </c>
      <c r="D10" s="9" t="inlineStr">
        <is>
          <t>#1E8E3E</t>
        </is>
      </c>
      <c r="E10" s="9" t="inlineStr">
        <is>
          <t>#7DDB93</t>
        </is>
      </c>
      <c r="F10" s="9" t="inlineStr">
        <is>
          <t>Status saudável/estável/OK</t>
        </is>
      </c>
      <c r="G10" s="9" t="inlineStr">
        <is>
          <t>Badges</t>
        </is>
      </c>
      <c r="H10" s="9" t="inlineStr">
        <is>
          <t>P1</t>
        </is>
      </c>
      <c r="I10" s="9" t="inlineStr">
        <is>
          <t>Não iniciado</t>
        </is>
      </c>
      <c r="J10" s="9" t="inlineStr"/>
    </row>
    <row r="11">
      <c r="A11" s="9" t="inlineStr">
        <is>
          <t>DS-CLR-07</t>
        </is>
      </c>
      <c r="B11" s="9" t="inlineStr">
        <is>
          <t>Cores</t>
        </is>
      </c>
      <c r="C11" s="9" t="inlineStr">
        <is>
          <t>Attention</t>
        </is>
      </c>
      <c r="D11" s="9" t="inlineStr">
        <is>
          <t>#8A5300</t>
        </is>
      </c>
      <c r="E11" s="9" t="inlineStr">
        <is>
          <t>#FFB955</t>
        </is>
      </c>
      <c r="F11" s="9" t="inlineStr">
        <is>
          <t>Status atenção/beta/cache — corrigido do valor AsIs (#B06000/#F59E0B)</t>
        </is>
      </c>
      <c r="G11" s="9" t="inlineStr">
        <is>
          <t>Badges</t>
        </is>
      </c>
      <c r="H11" s="9" t="inlineStr">
        <is>
          <t>P1</t>
        </is>
      </c>
      <c r="I11" s="9" t="inlineStr">
        <is>
          <t>Não iniciado</t>
        </is>
      </c>
      <c r="J11" s="9" t="inlineStr"/>
    </row>
    <row r="12">
      <c r="A12" s="9" t="inlineStr">
        <is>
          <t>DS-CLR-08</t>
        </is>
      </c>
      <c r="B12" s="9" t="inlineStr">
        <is>
          <t>Cores</t>
        </is>
      </c>
      <c r="C12" s="9" t="inlineStr">
        <is>
          <t>Error</t>
        </is>
      </c>
      <c r="D12" s="9" t="inlineStr">
        <is>
          <t>#BA1A1A</t>
        </is>
      </c>
      <c r="E12" s="9" t="inlineStr">
        <is>
          <t>#FFB4AB</t>
        </is>
      </c>
      <c r="F12" s="9" t="inlineStr">
        <is>
          <t>Status crítico/falha/pausado</t>
        </is>
      </c>
      <c r="G12" s="9" t="inlineStr">
        <is>
          <t>Badges</t>
        </is>
      </c>
      <c r="H12" s="9" t="inlineStr">
        <is>
          <t>P1</t>
        </is>
      </c>
      <c r="I12" s="9" t="inlineStr">
        <is>
          <t>Não iniciado</t>
        </is>
      </c>
      <c r="J12" s="9" t="inlineStr"/>
    </row>
    <row r="13">
      <c r="A13" s="9" t="inlineStr">
        <is>
          <t>DS-RAD-01</t>
        </is>
      </c>
      <c r="B13" s="9" t="inlineStr">
        <is>
          <t>Radius</t>
        </is>
      </c>
      <c r="C13" s="9" t="inlineStr">
        <is>
          <t>Card</t>
        </is>
      </c>
      <c r="D13" s="9" t="inlineStr">
        <is>
          <t>12px</t>
        </is>
      </c>
      <c r="E13" s="9" t="inlineStr">
        <is>
          <t>12px</t>
        </is>
      </c>
      <c r="F13" s="9" t="inlineStr">
        <is>
          <t>border-radius do container de card — corrigido de 16px</t>
        </is>
      </c>
      <c r="G13" s="9" t="inlineStr">
        <is>
          <t>Todos os cards</t>
        </is>
      </c>
      <c r="H13" s="9" t="inlineStr">
        <is>
          <t>P0</t>
        </is>
      </c>
      <c r="I13" s="9" t="inlineStr">
        <is>
          <t>Não iniciado</t>
        </is>
      </c>
      <c r="J13" s="9" t="inlineStr"/>
    </row>
    <row r="14">
      <c r="A14" s="9" t="inlineStr">
        <is>
          <t>DS-RAD-02</t>
        </is>
      </c>
      <c r="B14" s="9" t="inlineStr">
        <is>
          <t>Radius</t>
        </is>
      </c>
      <c r="C14" s="9" t="inlineStr">
        <is>
          <t>Button</t>
        </is>
      </c>
      <c r="D14" s="9" t="inlineStr">
        <is>
          <t>full/pill (altura/2)</t>
        </is>
      </c>
      <c r="E14" s="9" t="inlineStr">
        <is>
          <t>full/pill</t>
        </is>
      </c>
      <c r="F14" s="9" t="inlineStr">
        <is>
          <t>Botão Entrar: height 54px → radius 27px, nunca valor fixo</t>
        </is>
      </c>
      <c r="G14" s="9" t="inlineStr">
        <is>
          <t>Login, CTAs</t>
        </is>
      </c>
      <c r="H14" s="9" t="inlineStr">
        <is>
          <t>P0</t>
        </is>
      </c>
      <c r="I14" s="9" t="inlineStr">
        <is>
          <t>Não iniciado</t>
        </is>
      </c>
      <c r="J14" s="9" t="inlineStr"/>
    </row>
    <row r="15">
      <c r="A15" s="9" t="inlineStr">
        <is>
          <t>DS-RAD-03</t>
        </is>
      </c>
      <c r="B15" s="9" t="inlineStr">
        <is>
          <t>Radius</t>
        </is>
      </c>
      <c r="C15" s="9" t="inlineStr">
        <is>
          <t>Segmented chip (PROD/STG, período)</t>
        </is>
      </c>
      <c r="D15" s="9" t="inlineStr">
        <is>
          <t>20px</t>
        </is>
      </c>
      <c r="E15" s="9" t="inlineStr">
        <is>
          <t>20px</t>
        </is>
      </c>
      <c r="F15" s="9" t="inlineStr">
        <is>
          <t>Radius fixo, não pill — bug corrigido na PR #1067 (estava 12px)</t>
        </is>
      </c>
      <c r="G15" s="9" t="inlineStr">
        <is>
          <t>TopAppBar/GlobalFilters</t>
        </is>
      </c>
      <c r="H15" s="9" t="inlineStr">
        <is>
          <t>P0</t>
        </is>
      </c>
      <c r="I15" s="9" t="inlineStr">
        <is>
          <t>Não iniciado</t>
        </is>
      </c>
      <c r="J15" s="9" t="inlineStr"/>
    </row>
    <row r="16">
      <c r="A16" s="9" t="inlineStr">
        <is>
          <t>DS-RAD-04</t>
        </is>
      </c>
      <c r="B16" s="9" t="inlineStr">
        <is>
          <t>Radius</t>
        </is>
      </c>
      <c r="C16" s="9" t="inlineStr">
        <is>
          <t>Input</t>
        </is>
      </c>
      <c r="D16" s="9" t="inlineStr">
        <is>
          <t>12px</t>
        </is>
      </c>
      <c r="E16" s="9" t="inlineStr">
        <is>
          <t>12px</t>
        </is>
      </c>
      <c r="F16" s="9" t="inlineStr">
        <is>
          <t>Campo de e-mail/senha do login</t>
        </is>
      </c>
      <c r="G16" s="9" t="inlineStr">
        <is>
          <t>Login</t>
        </is>
      </c>
      <c r="H16" s="9" t="inlineStr">
        <is>
          <t>P1</t>
        </is>
      </c>
      <c r="I16" s="9" t="inlineStr">
        <is>
          <t>Não iniciado</t>
        </is>
      </c>
      <c r="J16" s="9" t="inlineStr"/>
    </row>
    <row r="17">
      <c r="A17" s="9" t="inlineStr">
        <is>
          <t>DS-NAV-01</t>
        </is>
      </c>
      <c r="B17" s="9" t="inlineStr">
        <is>
          <t>Navegação</t>
        </is>
      </c>
      <c r="C17" s="9" t="inlineStr">
        <is>
          <t>Nav Drawer width</t>
        </is>
      </c>
      <c r="D17" s="9" t="inlineStr">
        <is>
          <t>300px</t>
        </is>
      </c>
      <c r="E17" s="9" t="inlineStr">
        <is>
          <t>300px</t>
        </is>
      </c>
      <c r="F17" s="9" t="inlineStr">
        <is>
          <t>Largura do drawer desktop — corrigido de 264px</t>
        </is>
      </c>
      <c r="G17" s="9" t="inlineStr">
        <is>
          <t>Desktop</t>
        </is>
      </c>
      <c r="H17" s="9" t="inlineStr">
        <is>
          <t>P1</t>
        </is>
      </c>
      <c r="I17" s="9" t="inlineStr">
        <is>
          <t>Não iniciado</t>
        </is>
      </c>
      <c r="J17" s="9" t="inlineStr"/>
    </row>
    <row r="18">
      <c r="A18" s="9" t="inlineStr">
        <is>
          <t>DS-NAV-02</t>
        </is>
      </c>
      <c r="B18" s="9" t="inlineStr">
        <is>
          <t>Navegação</t>
        </is>
      </c>
      <c r="C18" s="9" t="inlineStr">
        <is>
          <t>Nav Rail width</t>
        </is>
      </c>
      <c r="D18" s="9" t="inlineStr">
        <is>
          <t>88px</t>
        </is>
      </c>
      <c r="E18" s="9" t="inlineStr">
        <is>
          <t>88px</t>
        </is>
      </c>
      <c r="F18" s="9" t="inlineStr">
        <is>
          <t>Largura do rail tablet, ícone-only, sem label</t>
        </is>
      </c>
      <c r="G18" s="9" t="inlineStr">
        <is>
          <t>Tablet</t>
        </is>
      </c>
      <c r="H18" s="9" t="inlineStr">
        <is>
          <t>P1</t>
        </is>
      </c>
      <c r="I18" s="9" t="inlineStr">
        <is>
          <t>Não iniciado</t>
        </is>
      </c>
      <c r="J18" s="9" t="inlineStr"/>
    </row>
    <row r="19">
      <c r="A19" s="9" t="inlineStr">
        <is>
          <t>DS-NAV-03</t>
        </is>
      </c>
      <c r="B19" s="9" t="inlineStr">
        <is>
          <t>Navegação</t>
        </is>
      </c>
      <c r="C19" s="9" t="inlineStr">
        <is>
          <t>Bottom Nav height</t>
        </is>
      </c>
      <c r="D19" s="9" t="inlineStr">
        <is>
          <t>80px</t>
        </is>
      </c>
      <c r="E19" s="9" t="inlineStr">
        <is>
          <t>80px</t>
        </is>
      </c>
      <c r="F19" s="9" t="inlineStr">
        <is>
          <t>5 itens fixos, substitui o drawer no mobile (não coexiste)</t>
        </is>
      </c>
      <c r="G19" s="9" t="inlineStr">
        <is>
          <t>Mobile</t>
        </is>
      </c>
      <c r="H19" s="9" t="inlineStr">
        <is>
          <t>P1</t>
        </is>
      </c>
      <c r="I19" s="9" t="inlineStr">
        <is>
          <t>Não iniciado</t>
        </is>
      </c>
      <c r="J19" s="9" t="inlineStr"/>
    </row>
    <row r="20">
      <c r="A20" s="9" t="inlineStr">
        <is>
          <t>DS-TYP-01</t>
        </is>
      </c>
      <c r="B20" s="9" t="inlineStr">
        <is>
          <t>Tipografia</t>
        </is>
      </c>
      <c r="C20" s="9" t="inlineStr">
        <is>
          <t>Display (valor hero de métrica)</t>
        </is>
      </c>
      <c r="D20" s="9" t="inlineStr">
        <is>
          <t>700, 24-28px, tracking -0.03em</t>
        </is>
      </c>
      <c r="E20" s="9" t="inlineStr">
        <is>
          <t>idem</t>
        </is>
      </c>
      <c r="F20" s="9" t="inlineStr">
        <is>
          <t>MetricCard — número grande com tracking negativo</t>
        </is>
      </c>
      <c r="G20" s="9" t="inlineStr">
        <is>
          <t>Overview, KPIs</t>
        </is>
      </c>
      <c r="H20" s="9" t="inlineStr">
        <is>
          <t>P2</t>
        </is>
      </c>
      <c r="I20" s="9" t="inlineStr">
        <is>
          <t>Não iniciado</t>
        </is>
      </c>
      <c r="J20" s="9" t="inlineStr"/>
    </row>
    <row r="21">
      <c r="A21" s="9" t="inlineStr">
        <is>
          <t>DS-TYP-02</t>
        </is>
      </c>
      <c r="B21" s="9" t="inlineStr">
        <is>
          <t>Tipografia</t>
        </is>
      </c>
      <c r="C21" s="9" t="inlineStr">
        <is>
          <t>Fonte</t>
        </is>
      </c>
      <c r="D21" s="9" t="inlineStr">
        <is>
          <t>Roboto (fallback ui-sans-serif)</t>
        </is>
      </c>
      <c r="E21" s="9" t="inlineStr">
        <is>
          <t>idem</t>
        </is>
      </c>
      <c r="F21" s="9" t="inlineStr">
        <is>
          <t>Nenhuma tela deve usar fonte diferente</t>
        </is>
      </c>
      <c r="G21" s="9" t="inlineStr">
        <is>
          <t>Todas</t>
        </is>
      </c>
      <c r="H21" s="9" t="inlineStr">
        <is>
          <t>P2</t>
        </is>
      </c>
      <c r="I21" s="9" t="inlineStr">
        <is>
          <t>Não iniciado</t>
        </is>
      </c>
      <c r="J21" s="9" t="inlineStr"/>
    </row>
    <row r="22">
      <c r="A22" s="9" t="inlineStr">
        <is>
          <t>DS-RULE-01</t>
        </is>
      </c>
      <c r="B22" s="9" t="inlineStr">
        <is>
          <t>Regra</t>
        </is>
      </c>
      <c r="C22" s="9" t="inlineStr">
        <is>
          <t>Verdict-Beside-Metric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KPI de qualidade (retenção, latência, crash) sempre acompanhado de veredito Excelente/Bom/Regular/Fraco/Forte</t>
        </is>
      </c>
      <c r="G22" s="9" t="inlineStr">
        <is>
          <t>Uso do App, IA &amp; Custos</t>
        </is>
      </c>
      <c r="H22" s="9" t="inlineStr">
        <is>
          <t>P1</t>
        </is>
      </c>
      <c r="I22" s="9" t="inlineStr">
        <is>
          <t>Não iniciado</t>
        </is>
      </c>
      <c r="J22" s="9" t="inlineStr"/>
    </row>
    <row r="23">
      <c r="A23" s="9" t="inlineStr">
        <is>
          <t>DS-RULE-02</t>
        </is>
      </c>
      <c r="B23" s="9" t="inlineStr">
        <is>
          <t>Regra</t>
        </is>
      </c>
      <c r="C23" s="9" t="inlineStr">
        <is>
          <t>Flat-by-default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Cards sem sombra decorativa — só fill tonal + borda 1px; única sombra real é o anel de foco</t>
        </is>
      </c>
      <c r="G23" s="9" t="inlineStr">
        <is>
          <t>Todas</t>
        </is>
      </c>
      <c r="H23" s="9" t="inlineStr">
        <is>
          <t>P2</t>
        </is>
      </c>
      <c r="I23" s="9" t="inlineStr">
        <is>
          <t>Não iniciado</t>
        </is>
      </c>
      <c r="J23" s="9" t="inlineStr"/>
    </row>
    <row r="24">
      <c r="A24" s="9" t="inlineStr">
        <is>
          <t>DS-RULE-03</t>
        </is>
      </c>
      <c r="B24" s="9" t="inlineStr">
        <is>
          <t>Regra</t>
        </is>
      </c>
      <c r="C24" s="9" t="inlineStr">
        <is>
          <t>One Accent Rule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--primary só aparece em CTA, nav ativa e foco — nunca como fundo geral</t>
        </is>
      </c>
      <c r="G24" s="9" t="inlineStr">
        <is>
          <t>Todas</t>
        </is>
      </c>
      <c r="H24" s="9" t="inlineStr">
        <is>
          <t>P1</t>
        </is>
      </c>
      <c r="I24" s="9" t="inlineStr">
        <is>
          <t>Não iniciado</t>
        </is>
      </c>
      <c r="J24" s="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34" customWidth="1" min="4" max="4"/>
    <col width="12" customWidth="1" min="5" max="5"/>
    <col width="30" customWidth="1" min="6" max="6"/>
    <col width="26" customWidth="1" min="7" max="7"/>
    <col width="26" customWidth="1" min="8" max="8"/>
    <col width="16" customWidth="1" min="9" max="9"/>
    <col width="10" customWidth="1" min="10" max="10"/>
    <col width="20" customWidth="1" min="11" max="11"/>
    <col width="14" customWidth="1" min="12" max="12"/>
    <col width="20" customWidth="1" min="13" max="13"/>
    <col width="14" customWidth="1" min="14" max="14"/>
  </cols>
  <sheetData>
    <row r="1">
      <c r="A1" s="1" t="inlineStr">
        <is>
          <t>Fila de bugs e template de issue GitHub</t>
        </is>
      </c>
    </row>
    <row r="2">
      <c r="A2" s="2" t="inlineStr">
        <is>
          <t>Preencher somente após reteste. Pesquisar duplicatas no repositório (gh issue list --search). Uma issue por causa raiz.</t>
        </is>
      </c>
    </row>
    <row r="4">
      <c r="A4" s="6" t="inlineStr">
        <is>
          <t>Ordem</t>
        </is>
      </c>
      <c r="B4" s="6" t="inlineStr">
        <is>
          <t>IDs de teste</t>
        </is>
      </c>
      <c r="C4" s="6" t="inlineStr">
        <is>
          <t>Tela</t>
        </is>
      </c>
      <c r="D4" s="6" t="inlineStr">
        <is>
          <t>Resumo do defeito</t>
        </is>
      </c>
      <c r="E4" s="6" t="inlineStr">
        <is>
          <t>Severidade</t>
        </is>
      </c>
      <c r="F4" s="6" t="inlineStr">
        <is>
          <t>Reprodução</t>
        </is>
      </c>
      <c r="G4" s="6" t="inlineStr">
        <is>
          <t>Esperado</t>
        </is>
      </c>
      <c r="H4" s="6" t="inlineStr">
        <is>
          <t>Atual</t>
        </is>
      </c>
      <c r="I4" s="6" t="inlineStr">
        <is>
          <t>Commit/deploy</t>
        </is>
      </c>
      <c r="J4" s="6" t="inlineStr">
        <is>
          <t>Ambiente</t>
        </is>
      </c>
      <c r="K4" s="6" t="inlineStr">
        <is>
          <t>Evidências</t>
        </is>
      </c>
      <c r="L4" s="6" t="inlineStr">
        <is>
          <t>Issue existente?</t>
        </is>
      </c>
      <c r="M4" s="6" t="inlineStr">
        <is>
          <t>URL GitHub</t>
        </is>
      </c>
      <c r="N4" s="6" t="inlineStr">
        <is>
          <t>Status triagem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60" customWidth="1" min="4" max="4"/>
    <col width="26" customWidth="1" min="5" max="5"/>
    <col width="20" customWidth="1" min="6" max="6"/>
  </cols>
  <sheetData>
    <row r="1">
      <c r="A1" s="1" t="inlineStr">
        <is>
          <t>Comandos de apoio — copiar, executar e guardar evidências</t>
        </is>
      </c>
    </row>
    <row r="2">
      <c r="A2" s="2" t="inlineStr">
        <is>
          <t>Web (Playwright/curl/D1), não ADB. Nunca colocar senha, token ou dado pessoal em issue pública.</t>
        </is>
      </c>
    </row>
    <row r="4">
      <c r="A4" s="6" t="inlineStr">
        <is>
          <t>Ordem</t>
        </is>
      </c>
      <c r="B4" s="6" t="inlineStr">
        <is>
          <t>Fase</t>
        </is>
      </c>
      <c r="C4" s="6" t="inlineStr">
        <is>
          <t>Objetivo</t>
        </is>
      </c>
      <c r="D4" s="6" t="inlineStr">
        <is>
          <t>Comando</t>
        </is>
      </c>
      <c r="E4" s="6" t="inlineStr">
        <is>
          <t>Saída esperada</t>
        </is>
      </c>
      <c r="F4" s="6" t="inlineStr">
        <is>
          <t>Arquivo/evidência</t>
        </is>
      </c>
    </row>
    <row r="5">
      <c r="A5" s="9" t="n">
        <v>1</v>
      </c>
      <c r="B5" s="9" t="inlineStr">
        <is>
          <t>Setup</t>
        </is>
      </c>
      <c r="C5" s="9" t="inlineStr">
        <is>
          <t>Confirmar produção real</t>
        </is>
      </c>
      <c r="D5" s="9" t="inlineStr">
        <is>
          <t>curl -s -o /dev/null -w '%{http_code}' https://signallq-admin-panel.pages.dev/</t>
        </is>
      </c>
      <c r="E5" s="9" t="inlineStr">
        <is>
          <t>200</t>
        </is>
      </c>
      <c r="F5" s="9" t="inlineStr">
        <is>
          <t>status.txt</t>
        </is>
      </c>
    </row>
    <row r="6">
      <c r="A6" s="9" t="n">
        <v>2</v>
      </c>
      <c r="B6" s="9" t="inlineStr">
        <is>
          <t>Setup</t>
        </is>
      </c>
      <c r="C6" s="9" t="inlineStr">
        <is>
          <t>NUNCA testar a URL legada</t>
        </is>
      </c>
      <c r="D6" s="9" t="inlineStr">
        <is>
          <t># https://signallq.pages.dev/console/ está desativada (issue #1068) — não usar como referência</t>
        </is>
      </c>
      <c r="E6" s="9" t="inlineStr">
        <is>
          <t>-</t>
        </is>
      </c>
      <c r="F6" s="9" t="inlineStr">
        <is>
          <t>-</t>
        </is>
      </c>
    </row>
    <row r="7">
      <c r="A7" s="9" t="n">
        <v>3</v>
      </c>
      <c r="B7" s="9" t="inlineStr">
        <is>
          <t>Auth</t>
        </is>
      </c>
      <c r="C7" s="9" t="inlineStr">
        <is>
          <t>Confirmar sessão ativa via API</t>
        </is>
      </c>
      <c r="D7" s="9" t="inlineStr">
        <is>
          <t>curl -s -b cookies.txt https://signallq-admin-panel.pages.dev/api/admin/auth/me</t>
        </is>
      </c>
      <c r="E7" s="9" t="inlineStr">
        <is>
          <t>{"email":"qa.playwright@signallq.internal","role":"admin"}</t>
        </is>
      </c>
      <c r="F7" s="9" t="inlineStr">
        <is>
          <t>auth_me.json</t>
        </is>
      </c>
    </row>
    <row r="8">
      <c r="A8" s="9" t="n">
        <v>4</v>
      </c>
      <c r="B8" s="9" t="inlineStr">
        <is>
          <t>Dados</t>
        </is>
      </c>
      <c r="C8" s="9" t="inlineStr">
        <is>
          <t>Conferir conta de QA no D1</t>
        </is>
      </c>
      <c r="D8" s="9" t="inlineStr">
        <is>
          <t>npx wrangler d1 execute signallq-admin-db --remote --command "SELECT id,email,role,active FROM admin_users WHERE email='qa.playwright@signallq.internal'"</t>
        </is>
      </c>
      <c r="E8" s="9" t="inlineStr">
        <is>
          <t>1 linha, active=1</t>
        </is>
      </c>
      <c r="F8" s="9" t="inlineStr">
        <is>
          <t>qa_user.json</t>
        </is>
      </c>
    </row>
    <row r="9">
      <c r="A9" s="9" t="n">
        <v>5</v>
      </c>
      <c r="B9" s="9" t="inlineStr">
        <is>
          <t>Dados</t>
        </is>
      </c>
      <c r="C9" s="9" t="inlineStr">
        <is>
          <t>Conferir sessões ativas da conta de QA</t>
        </is>
      </c>
      <c r="D9" s="9" t="inlineStr">
        <is>
          <t>npx wrangler d1 execute signallq-admin-db --remote --command "SELECT * FROM admin_sessions WHERE user_id=(SELECT id FROM admin_users WHERE email='qa.playwright@signallq.internal')"</t>
        </is>
      </c>
      <c r="E9" s="9" t="inlineStr">
        <is>
          <t>0+ linhas</t>
        </is>
      </c>
      <c r="F9" s="9" t="inlineStr">
        <is>
          <t>qa_sessions.json</t>
        </is>
      </c>
    </row>
    <row r="10">
      <c r="A10" s="9" t="n">
        <v>6</v>
      </c>
      <c r="B10" s="9" t="inlineStr">
        <is>
          <t>Rede</t>
        </is>
      </c>
      <c r="C10" s="9" t="inlineStr">
        <is>
          <t>Listar requests da tela atual (Playwright)</t>
        </is>
      </c>
      <c r="D10" s="9" t="inlineStr">
        <is>
          <t>browser_network_requests / mcp__playwright__browser_console_messages</t>
        </is>
      </c>
      <c r="E10" s="9" t="inlineStr">
        <is>
          <t>Sem erro novo além do 401 inicial de /auth/me pré-login</t>
        </is>
      </c>
      <c r="F10" s="9" t="inlineStr">
        <is>
          <t>network_&lt;tela&gt;.log</t>
        </is>
      </c>
    </row>
    <row r="11">
      <c r="A11" s="9" t="n">
        <v>7</v>
      </c>
      <c r="B11" s="9" t="inlineStr">
        <is>
          <t>Visual</t>
        </is>
      </c>
      <c r="C11" s="9" t="inlineStr">
        <is>
          <t>Comparar hash de build servido</t>
        </is>
      </c>
      <c r="D11" s="9" t="inlineStr">
        <is>
          <t>curl -s https://signallq-admin-panel.pages.dev/console/ | grep -o 'assets/index-[A-Za-z0-9_-]*\.\(js\|css\)'</t>
        </is>
      </c>
      <c r="E11" s="9" t="inlineStr">
        <is>
          <t>Hash muda a cada deploy; comparar com build local (npm run build)</t>
        </is>
      </c>
      <c r="F11" s="9" t="inlineStr">
        <is>
          <t>build_hash.txt</t>
        </is>
      </c>
    </row>
    <row r="12">
      <c r="A12" s="9" t="n">
        <v>8</v>
      </c>
      <c r="B12" s="9" t="inlineStr">
        <is>
          <t>Encerramento</t>
        </is>
      </c>
      <c r="C12" s="9" t="inlineStr">
        <is>
          <t>Revogar sessão de QA ao final da rodada</t>
        </is>
      </c>
      <c r="D12" s="9" t="inlineStr">
        <is>
          <t>curl -s -X POST -b cookies.txt https://signallq-admin-panel.pages.dev/api/admin/auth/logout</t>
        </is>
      </c>
      <c r="E12" s="9" t="inlineStr">
        <is>
          <t>{"ok":true}</t>
        </is>
      </c>
      <c r="F12" s="9" t="inlineStr">
        <is>
          <t>logout.json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2026-07-17T04:27:15Z</dcterms:created>
  <dcterms:modified xsi:type="dcterms:W3CDTF">2026-07-17T04:27:15Z</dcterms:modified>
</cp:coreProperties>
</file>